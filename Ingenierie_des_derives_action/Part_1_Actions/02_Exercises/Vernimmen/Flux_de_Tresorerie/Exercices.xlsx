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yannismouton/Documents/Development/Lab_de_Recherche_sur_les_Marches_Financiers/Ingenierie_des_derives_action/Part_1_Actions/02_Exercises/Vernimmen/Flux_de_Tresorerie/"/>
    </mc:Choice>
  </mc:AlternateContent>
  <xr:revisionPtr revIDLastSave="0" documentId="13_ncr:1_{49EDC207-AC8D-9F46-8831-D4B177D15BBD}" xr6:coauthVersionLast="47" xr6:coauthVersionMax="47" xr10:uidLastSave="{00000000-0000-0000-0000-000000000000}"/>
  <bookViews>
    <workbookView xWindow="0" yWindow="660" windowWidth="34560" windowHeight="21680" activeTab="1" xr2:uid="{7F5A4E5F-E11C-C543-A545-BA56CE15125F}"/>
  </bookViews>
  <sheets>
    <sheet name="Exercice 1" sheetId="1" r:id="rId1"/>
    <sheet name="Exercice 2" sheetId="2" r:id="rId2"/>
  </sheets>
  <definedNames>
    <definedName name="Flux_de_Tresorerie">'Exercice 1'!$B$10:$L$29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2" l="1"/>
  <c r="F48" i="2"/>
  <c r="F49" i="2"/>
  <c r="F50" i="2"/>
  <c r="F51" i="2"/>
  <c r="F52" i="2"/>
  <c r="F53" i="2"/>
  <c r="F54" i="2"/>
  <c r="F55" i="2"/>
  <c r="F56" i="2"/>
  <c r="F57" i="2"/>
  <c r="F46" i="2"/>
  <c r="E57" i="2"/>
  <c r="D57" i="2"/>
  <c r="C57" i="2"/>
  <c r="E56" i="2"/>
  <c r="D56" i="2"/>
  <c r="C56" i="2"/>
  <c r="E55" i="2"/>
  <c r="D55" i="2"/>
  <c r="C55" i="2"/>
  <c r="E54" i="2"/>
  <c r="D54" i="2"/>
  <c r="C54" i="2"/>
  <c r="E53" i="2"/>
  <c r="D53" i="2"/>
  <c r="C53" i="2"/>
  <c r="E52" i="2"/>
  <c r="D52" i="2"/>
  <c r="C52" i="2"/>
  <c r="E51" i="2"/>
  <c r="D51" i="2"/>
  <c r="C51" i="2"/>
  <c r="E50" i="2"/>
  <c r="D50" i="2"/>
  <c r="C50" i="2"/>
  <c r="E49" i="2"/>
  <c r="D49" i="2"/>
  <c r="C49" i="2"/>
  <c r="E48" i="2"/>
  <c r="D48" i="2"/>
  <c r="C48" i="2"/>
  <c r="E47" i="2"/>
  <c r="D47" i="2"/>
  <c r="C47" i="2"/>
  <c r="E46" i="2"/>
  <c r="D46" i="2"/>
  <c r="C46" i="2"/>
  <c r="AL37" i="2"/>
  <c r="AK37" i="2"/>
  <c r="AJ37" i="2"/>
  <c r="AI37" i="2"/>
  <c r="AH37" i="2"/>
  <c r="AG37" i="2"/>
  <c r="AF37" i="2"/>
  <c r="AE37" i="2"/>
  <c r="AD37" i="2"/>
  <c r="AC37" i="2"/>
  <c r="AB37" i="2"/>
  <c r="AA37" i="2"/>
  <c r="AA33" i="2"/>
  <c r="AB33" i="2"/>
  <c r="AC33" i="2"/>
  <c r="AC34" i="2" s="1"/>
  <c r="AC36" i="2" s="1"/>
  <c r="AD33" i="2"/>
  <c r="AD34" i="2" s="1"/>
  <c r="AD36" i="2" s="1"/>
  <c r="AE33" i="2"/>
  <c r="AE34" i="2" s="1"/>
  <c r="AE36" i="2" s="1"/>
  <c r="AF33" i="2"/>
  <c r="AF34" i="2" s="1"/>
  <c r="AF36" i="2" s="1"/>
  <c r="AG33" i="2"/>
  <c r="AG34" i="2" s="1"/>
  <c r="AG36" i="2" s="1"/>
  <c r="AH33" i="2"/>
  <c r="AH34" i="2" s="1"/>
  <c r="AH36" i="2" s="1"/>
  <c r="AH40" i="2" s="1"/>
  <c r="AI33" i="2"/>
  <c r="AI34" i="2" s="1"/>
  <c r="AI36" i="2" s="1"/>
  <c r="AI40" i="2" s="1"/>
  <c r="AJ33" i="2"/>
  <c r="AJ34" i="2" s="1"/>
  <c r="AJ36" i="2" s="1"/>
  <c r="AJ40" i="2" s="1"/>
  <c r="AK33" i="2"/>
  <c r="AK34" i="2" s="1"/>
  <c r="AK36" i="2" s="1"/>
  <c r="AK40" i="2" s="1"/>
  <c r="AL33" i="2"/>
  <c r="AL34" i="2" s="1"/>
  <c r="AL36" i="2" s="1"/>
  <c r="AL40" i="2" s="1"/>
  <c r="AA34" i="2"/>
  <c r="AA36" i="2" s="1"/>
  <c r="AB34" i="2"/>
  <c r="AB36" i="2" s="1"/>
  <c r="AB40" i="2" s="1"/>
  <c r="D40" i="2"/>
  <c r="E40" i="2"/>
  <c r="F40" i="2"/>
  <c r="G40" i="2"/>
  <c r="H40" i="2"/>
  <c r="I40" i="2"/>
  <c r="J40" i="2"/>
  <c r="K40" i="2"/>
  <c r="L40" i="2"/>
  <c r="M40" i="2"/>
  <c r="N40" i="2"/>
  <c r="O40" i="2"/>
  <c r="P40" i="2"/>
  <c r="Q40" i="2"/>
  <c r="R40" i="2"/>
  <c r="S40" i="2"/>
  <c r="T40" i="2"/>
  <c r="U40" i="2"/>
  <c r="V40" i="2"/>
  <c r="W40" i="2"/>
  <c r="X40" i="2"/>
  <c r="Y40" i="2"/>
  <c r="Z40" i="2"/>
  <c r="C40" i="2"/>
  <c r="D37" i="2"/>
  <c r="E37" i="2"/>
  <c r="F37" i="2"/>
  <c r="G37" i="2"/>
  <c r="H37" i="2"/>
  <c r="I37" i="2"/>
  <c r="J37" i="2"/>
  <c r="K37" i="2"/>
  <c r="L37" i="2"/>
  <c r="M37" i="2"/>
  <c r="N37" i="2"/>
  <c r="O37" i="2"/>
  <c r="P37" i="2"/>
  <c r="Q37" i="2"/>
  <c r="R37" i="2"/>
  <c r="S37" i="2"/>
  <c r="T37" i="2"/>
  <c r="U37" i="2"/>
  <c r="V37" i="2"/>
  <c r="W37" i="2"/>
  <c r="X37" i="2"/>
  <c r="Y37" i="2"/>
  <c r="Z37" i="2"/>
  <c r="D34" i="2"/>
  <c r="E34" i="2"/>
  <c r="F34" i="2"/>
  <c r="G34" i="2"/>
  <c r="H34" i="2"/>
  <c r="I34" i="2"/>
  <c r="J34" i="2"/>
  <c r="K34" i="2"/>
  <c r="L34" i="2"/>
  <c r="M34" i="2"/>
  <c r="N34" i="2"/>
  <c r="O34" i="2"/>
  <c r="P34" i="2"/>
  <c r="Q34" i="2"/>
  <c r="R34" i="2"/>
  <c r="S34" i="2"/>
  <c r="T34" i="2"/>
  <c r="U34" i="2"/>
  <c r="V34" i="2"/>
  <c r="W34" i="2"/>
  <c r="X34" i="2"/>
  <c r="Y34" i="2"/>
  <c r="Z34" i="2"/>
  <c r="C34" i="2"/>
  <c r="C37" i="2"/>
  <c r="C38" i="2"/>
  <c r="D33" i="2"/>
  <c r="D36" i="2" s="1"/>
  <c r="E33" i="2"/>
  <c r="F33" i="2"/>
  <c r="G33" i="2"/>
  <c r="G36" i="2" s="1"/>
  <c r="H33" i="2"/>
  <c r="H36" i="2" s="1"/>
  <c r="I33" i="2"/>
  <c r="J33" i="2"/>
  <c r="K33" i="2"/>
  <c r="L33" i="2"/>
  <c r="M33" i="2"/>
  <c r="N33" i="2"/>
  <c r="O33" i="2"/>
  <c r="P33" i="2"/>
  <c r="Q33" i="2"/>
  <c r="R33" i="2"/>
  <c r="R36" i="2" s="1"/>
  <c r="S33" i="2"/>
  <c r="S36" i="2" s="1"/>
  <c r="T33" i="2"/>
  <c r="T36" i="2" s="1"/>
  <c r="U33" i="2"/>
  <c r="U36" i="2" s="1"/>
  <c r="V33" i="2"/>
  <c r="V36" i="2" s="1"/>
  <c r="W33" i="2"/>
  <c r="X33" i="2"/>
  <c r="Y33" i="2"/>
  <c r="Z33" i="2"/>
  <c r="C33" i="2"/>
  <c r="E16" i="1"/>
  <c r="F16" i="1"/>
  <c r="G16" i="1"/>
  <c r="H16" i="1"/>
  <c r="D16" i="1"/>
  <c r="H15" i="1"/>
  <c r="G15" i="1"/>
  <c r="F15" i="1"/>
  <c r="E15" i="1"/>
  <c r="D15" i="1"/>
  <c r="D19" i="1"/>
  <c r="C19" i="1"/>
  <c r="H18" i="1"/>
  <c r="D18" i="1"/>
  <c r="E18" i="1"/>
  <c r="F18" i="1"/>
  <c r="G18" i="1"/>
  <c r="C18" i="1"/>
  <c r="E19" i="1"/>
  <c r="C16" i="1"/>
  <c r="H14" i="1"/>
  <c r="D14" i="1"/>
  <c r="E14" i="1"/>
  <c r="F14" i="1"/>
  <c r="G14" i="1"/>
  <c r="C14" i="1"/>
  <c r="AA40" i="2" l="1"/>
  <c r="AG40" i="2"/>
  <c r="AF40" i="2"/>
  <c r="AE40" i="2"/>
  <c r="AD40" i="2"/>
  <c r="AC40" i="2"/>
  <c r="F36" i="2"/>
  <c r="E36" i="2"/>
  <c r="Q36" i="2"/>
  <c r="P36" i="2"/>
  <c r="O36" i="2"/>
  <c r="N36" i="2"/>
  <c r="M36" i="2"/>
  <c r="Z36" i="2"/>
  <c r="L36" i="2"/>
  <c r="Y36" i="2"/>
  <c r="K36" i="2"/>
  <c r="X36" i="2"/>
  <c r="J36" i="2"/>
  <c r="W36" i="2"/>
  <c r="I36" i="2"/>
  <c r="C36" i="2"/>
  <c r="F19" i="1"/>
  <c r="G19" i="1" l="1"/>
  <c r="H19" i="1"/>
</calcChain>
</file>

<file path=xl/sharedStrings.xml><?xml version="1.0" encoding="utf-8"?>
<sst xmlns="http://schemas.openxmlformats.org/spreadsheetml/2006/main" count="104" uniqueCount="49">
  <si>
    <t>1/ La société Hic décide en année n de financer un nouveau projet
d’investissement d’un montant de 200 M€ à 50 % par des capitaux propres et à
50 % par emprunt. L’emprunt (100 M€) sera remboursé intégralement en
n+5 mais, d’ici là, la société verse des intérêts de 5 % par an. À l’issue de la
période, on vous demande de compléter le tableau simplifié suivant (aucun
investissement n’a été réalisé après celui de l’année n, et l’entreprise n’avait pas
de dettes avant de réaliser celui-ci) :</t>
  </si>
  <si>
    <t>Total</t>
  </si>
  <si>
    <t>Période</t>
  </si>
  <si>
    <t>n</t>
  </si>
  <si>
    <t>Recettes d'exploitation</t>
  </si>
  <si>
    <t>n+1</t>
  </si>
  <si>
    <t>n+3</t>
  </si>
  <si>
    <t>n+4</t>
  </si>
  <si>
    <t>n+5</t>
  </si>
  <si>
    <t>Dépenses d'exploitation</t>
  </si>
  <si>
    <t>ETE</t>
  </si>
  <si>
    <t>Investissements</t>
  </si>
  <si>
    <t>Flux de trésorerie disponible</t>
  </si>
  <si>
    <t>Flux revenant …</t>
  </si>
  <si>
    <t>… aux créanciers</t>
  </si>
  <si>
    <t>… aux actionnaires</t>
  </si>
  <si>
    <t>n+2</t>
  </si>
  <si>
    <t>Qu'en déduisez-vous ?</t>
  </si>
  <si>
    <t xml:space="preserve">J'en déduis que le financement de ce projet est convaincant pour à la fois les créanciers qui récupèrent les intérêts ainsi que les 100M€ prêtés, et il reste toujours des flux  pour les actionnaires. </t>
  </si>
  <si>
    <t>Tableau de Financement de Flux de Trésorerie :</t>
  </si>
  <si>
    <t>Année 1</t>
  </si>
  <si>
    <t>Juin</t>
  </si>
  <si>
    <t>Décembre</t>
  </si>
  <si>
    <t>Année 2</t>
  </si>
  <si>
    <t>Année 3</t>
  </si>
  <si>
    <t>Année 4</t>
  </si>
  <si>
    <t>Année 5</t>
  </si>
  <si>
    <t>Les bénéfices sont exonérés d’impôt. Le chiffre d’affaires sera de 12 M€ par mois. Un mois de stock de produits finis devra être constitué. Les clients paient à 90 jours.
L’entreprise, qui entend avoir un mois d’achats d’avance, prévoit par conséquent d’acheter des matières pour deux mois en janvier. Le besoin mensuel normal est de 4 M€. Le fournisseur accorde un crédit de 90 jours. Les autres frais sont :
- des frais de personnel, pour un montant de 4 M€ par mois ;
- des frais de transport, d’emballage et autres, qui s’élèvent à 2 M€ par mois et sont payés à 30 jours. Ces frais apparaissent dès le 1er janvier.
Établissez un plan de trésorerie mensuel puis annuel.
Quel est le besoin de trésorerie de la filiale à la fin de chaque mois de la
première année ? Si l’exploitation est identique, à la fin de chaque mois la
deuxième année ? Quelle est la variation de trésorerie pendant la deuxième année
(sachant qu’aucun investissement supplémentaire n’est prévu) ?</t>
  </si>
  <si>
    <t>Janvier</t>
  </si>
  <si>
    <t>Février</t>
  </si>
  <si>
    <t>Mars</t>
  </si>
  <si>
    <t>Avril</t>
  </si>
  <si>
    <t>Mai</t>
  </si>
  <si>
    <t>Juillet</t>
  </si>
  <si>
    <t>Août</t>
  </si>
  <si>
    <t>Septembre</t>
  </si>
  <si>
    <t>Octobre</t>
  </si>
  <si>
    <t>Novembre</t>
  </si>
  <si>
    <t>Chiffre D'affaires</t>
  </si>
  <si>
    <t>Matières premières</t>
  </si>
  <si>
    <t>Frais de personnel</t>
  </si>
  <si>
    <t>Frais de Transports et autres</t>
  </si>
  <si>
    <t>Flux de trésorerie disponibles</t>
  </si>
  <si>
    <t>Flux revenant aux créanciers</t>
  </si>
  <si>
    <t>… prêts</t>
  </si>
  <si>
    <t>… intérêts</t>
  </si>
  <si>
    <t>La société Boilevé crée une filiale en Grèce qui commencera son activité début janvier. Elle doit acheter à ce moment-là une machine de 30M€ Financée partiellement par un crédit bancaire de 20M€ remboursable à raison de 2M€ tous les 15 janvier et 15 juillets de chaque année pendant 5 ans. Les frais financiers, payables semestriellement sont les suivants :</t>
  </si>
  <si>
    <t>Flux revenant aux actionnaires</t>
  </si>
  <si>
    <t>La variation de trésorerie demandée correspond au flux revenant aux actionnaires.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</si>
</sst>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sz val="12"/>
      <color rgb="FF0070C0"/>
      <name val="Aptos Narrow"/>
      <family val="2"/>
      <scheme val="minor"/>
    </font>
    <font>
      <b/>
      <sz val="12"/>
      <color theme="1"/>
      <name val="Aptos Narrow"/>
      <scheme val="minor"/>
    </font>
  </fonts>
  <fills count="2">
    <fill>
      <patternFill patternType="none"/>
    </fill>
    <fill>
      <patternFill patternType="gray125"/>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89">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Border="1"/>
    <xf numFmtId="0" fontId="0" fillId="0" borderId="6" xfId="0" applyBorder="1"/>
    <xf numFmtId="0" fontId="0" fillId="0" borderId="9" xfId="0" applyBorder="1"/>
    <xf numFmtId="0" fontId="0" fillId="0" borderId="10" xfId="0" applyBorder="1"/>
    <xf numFmtId="0" fontId="0" fillId="0" borderId="11" xfId="0" applyBorder="1"/>
    <xf numFmtId="0" fontId="0" fillId="0" borderId="13" xfId="0" applyBorder="1"/>
    <xf numFmtId="0" fontId="0" fillId="0" borderId="14" xfId="0" applyBorder="1"/>
    <xf numFmtId="0" fontId="0" fillId="0" borderId="15" xfId="0" applyBorder="1"/>
    <xf numFmtId="0" fontId="0" fillId="0" borderId="18" xfId="0" applyBorder="1"/>
    <xf numFmtId="0" fontId="0" fillId="0" borderId="24" xfId="0" applyBorder="1" applyAlignment="1">
      <alignment horizontal="right"/>
    </xf>
    <xf numFmtId="0" fontId="0" fillId="0" borderId="24" xfId="0" applyFill="1" applyBorder="1" applyAlignment="1">
      <alignment horizontal="right"/>
    </xf>
    <xf numFmtId="0" fontId="0" fillId="0" borderId="23" xfId="0" applyFill="1" applyBorder="1" applyAlignment="1">
      <alignment horizontal="right"/>
    </xf>
    <xf numFmtId="0" fontId="2" fillId="0" borderId="26" xfId="0" applyFont="1" applyBorder="1" applyAlignment="1">
      <alignment horizontal="right"/>
    </xf>
    <xf numFmtId="0" fontId="2" fillId="0" borderId="24" xfId="0" applyFont="1" applyBorder="1" applyAlignment="1">
      <alignment horizontal="right"/>
    </xf>
    <xf numFmtId="0" fontId="2" fillId="0" borderId="24" xfId="0" applyFont="1" applyFill="1" applyBorder="1" applyAlignment="1">
      <alignment horizontal="right"/>
    </xf>
    <xf numFmtId="0" fontId="2" fillId="0" borderId="25" xfId="0" applyFont="1" applyBorder="1" applyAlignment="1">
      <alignment horizontal="right"/>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0" xfId="0" applyBorder="1" applyAlignment="1">
      <alignment horizontal="center" vertical="center" wrapText="1"/>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21" xfId="0" applyBorder="1" applyAlignment="1">
      <alignment horizontal="center"/>
    </xf>
    <xf numFmtId="0" fontId="0" fillId="0" borderId="22" xfId="0" applyBorder="1" applyAlignment="1">
      <alignment horizontal="center"/>
    </xf>
    <xf numFmtId="0" fontId="0" fillId="0" borderId="7" xfId="0" applyBorder="1" applyAlignment="1">
      <alignment horizontal="right"/>
    </xf>
    <xf numFmtId="0" fontId="0" fillId="0" borderId="8" xfId="0" applyFill="1" applyBorder="1" applyAlignment="1">
      <alignment horizontal="right"/>
    </xf>
    <xf numFmtId="0" fontId="0" fillId="0" borderId="10"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3" fillId="0" borderId="20"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2" fillId="0" borderId="27" xfId="0" applyFont="1" applyBorder="1"/>
    <xf numFmtId="0" fontId="0" fillId="0" borderId="29" xfId="0" applyBorder="1"/>
    <xf numFmtId="0" fontId="0" fillId="0" borderId="30" xfId="0" applyBorder="1"/>
    <xf numFmtId="0" fontId="2" fillId="0" borderId="0" xfId="0" applyFont="1" applyBorder="1"/>
    <xf numFmtId="0" fontId="2" fillId="0" borderId="19" xfId="0" applyFont="1" applyBorder="1"/>
    <xf numFmtId="0" fontId="2" fillId="0" borderId="28" xfId="0" applyFont="1" applyBorder="1"/>
    <xf numFmtId="0" fontId="0" fillId="0" borderId="9" xfId="0" applyFill="1" applyBorder="1"/>
    <xf numFmtId="0" fontId="2" fillId="0" borderId="16" xfId="0" applyFont="1" applyBorder="1"/>
    <xf numFmtId="0" fontId="2" fillId="0" borderId="18" xfId="0" applyFont="1" applyBorder="1"/>
    <xf numFmtId="0" fontId="2" fillId="0" borderId="10" xfId="0" applyFont="1" applyBorder="1"/>
    <xf numFmtId="0" fontId="2" fillId="0" borderId="12" xfId="0" applyFont="1" applyBorder="1"/>
    <xf numFmtId="0" fontId="2" fillId="0" borderId="17" xfId="0" applyFont="1" applyBorder="1"/>
    <xf numFmtId="0" fontId="0" fillId="0" borderId="18" xfId="0" applyFill="1" applyBorder="1"/>
    <xf numFmtId="0" fontId="3" fillId="0" borderId="18" xfId="0" applyFont="1" applyBorder="1"/>
    <xf numFmtId="0" fontId="3" fillId="0" borderId="12" xfId="0" applyFont="1" applyBorder="1"/>
    <xf numFmtId="0" fontId="3" fillId="0" borderId="10" xfId="0" applyFont="1" applyBorder="1"/>
    <xf numFmtId="0" fontId="0" fillId="0" borderId="10" xfId="0" applyFill="1" applyBorder="1"/>
    <xf numFmtId="0" fontId="0" fillId="0" borderId="12" xfId="0" applyFill="1" applyBorder="1"/>
    <xf numFmtId="0" fontId="2" fillId="0" borderId="12" xfId="0" applyFont="1" applyFill="1" applyBorder="1"/>
    <xf numFmtId="0" fontId="2" fillId="0" borderId="16" xfId="0" applyFont="1" applyFill="1" applyBorder="1"/>
    <xf numFmtId="0" fontId="2" fillId="0" borderId="17" xfId="0" applyFont="1" applyFill="1" applyBorder="1"/>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3" fillId="0" borderId="18" xfId="0" applyFont="1" applyFill="1" applyBorder="1"/>
    <xf numFmtId="0" fontId="0" fillId="0" borderId="29" xfId="0" applyFill="1" applyBorder="1"/>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cellXfs>
  <cellStyles count="1">
    <cellStyle name="Normal" xfId="0" builtinId="0"/>
  </cellStyles>
  <dxfs count="9">
    <dxf>
      <alignment horizontal="right" vertical="bottom" textRotation="0" wrapText="0" indent="0" justifyLastLine="0" shrinkToFit="0" readingOrder="0"/>
      <border diagonalUp="0" diagonalDown="0" outline="0">
        <left style="medium">
          <color indexed="64"/>
        </left>
        <right style="medium">
          <color indexed="64"/>
        </right>
        <top/>
        <bottom/>
      </border>
    </dxf>
    <dxf>
      <border diagonalUp="0" diagonalDown="0">
        <left/>
        <right/>
        <top/>
        <bottom/>
        <vertical/>
        <horizontal/>
      </border>
    </dxf>
    <dxf>
      <border>
        <bottom style="medium">
          <color indexed="64"/>
        </bottom>
      </border>
    </dxf>
    <dxf>
      <alignment horizontal="right" vertical="bottom" textRotation="0" wrapText="0" indent="0" justifyLastLine="0" shrinkToFit="0" readingOrder="0"/>
      <border diagonalUp="0" diagonalDown="0" outline="0">
        <left style="medium">
          <color indexed="64"/>
        </left>
        <right style="medium">
          <color indexed="64"/>
        </right>
        <top/>
        <bottom/>
      </border>
    </dxf>
    <dxf>
      <alignment horizontal="right" vertical="bottom" textRotation="0" wrapText="0" indent="0" justifyLastLine="0" shrinkToFit="0" readingOrder="0"/>
      <border diagonalUp="0" diagonalDown="0" outline="0">
        <left style="medium">
          <color indexed="64"/>
        </left>
        <right style="medium">
          <color indexed="64"/>
        </right>
        <top/>
        <bottom/>
      </border>
    </dxf>
    <dxf>
      <alignment horizontal="right" vertical="bottom" textRotation="0" wrapText="0" indent="0" justifyLastLine="0" shrinkToFit="0" readingOrder="0"/>
      <border diagonalUp="0" diagonalDown="0" outline="0">
        <left style="medium">
          <color indexed="64"/>
        </left>
        <right style="medium">
          <color indexed="64"/>
        </right>
        <top/>
        <bottom/>
      </border>
    </dxf>
    <dxf>
      <alignment horizontal="right" vertical="bottom" textRotation="0" wrapText="0" indent="0" justifyLastLine="0" shrinkToFit="0" readingOrder="0"/>
      <border diagonalUp="0" diagonalDown="0" outline="0">
        <left style="medium">
          <color indexed="64"/>
        </left>
        <right style="medium">
          <color indexed="64"/>
        </right>
        <top/>
        <bottom/>
      </border>
    </dxf>
    <dxf>
      <alignment horizontal="right" vertical="bottom" textRotation="0" wrapText="0" indent="0" justifyLastLine="0" shrinkToFit="0" readingOrder="0"/>
      <border diagonalUp="0" diagonalDown="0" outline="0">
        <left style="medium">
          <color indexed="64"/>
        </left>
        <right style="medium">
          <color indexed="64"/>
        </right>
        <top/>
        <bottom/>
      </border>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EEC19-0DBA-824C-9C3E-B1D61970C9DF}" name="Table1" displayName="Table1" ref="B11:H19" headerRowDxfId="1" headerRowBorderDxfId="2" tableBorderDxfId="8" headerRowCellStyle="Normal" dataCellStyle="Normal" totalsRowCellStyle="Normal">
  <autoFilter ref="B11:H19" xr:uid="{6BDEEC19-0DBA-824C-9C3E-B1D61970C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E16E105-609A-B947-AE9F-2E77C8CDCB1B}" name="Période" totalsRowLabel="Total" dataCellStyle="Normal"/>
    <tableColumn id="2" xr3:uid="{B5052E3A-EF9C-CA43-8650-CBB9D0AA57D4}" name="n" dataDxfId="7" dataCellStyle="Normal"/>
    <tableColumn id="3" xr3:uid="{FC621A00-94AD-7F47-A0C9-18385D2A0F3F}" name="n+1" dataDxfId="6" dataCellStyle="Normal"/>
    <tableColumn id="4" xr3:uid="{D8E80EA5-D565-A641-A10E-BB62E6668395}" name="n+2" dataDxfId="5" dataCellStyle="Normal"/>
    <tableColumn id="5" xr3:uid="{C835A04F-22D2-A64D-8A7F-F906272EA23A}" name="n+3" dataDxfId="4" dataCellStyle="Normal"/>
    <tableColumn id="6" xr3:uid="{608AAE76-CD30-F749-8BC0-0F116F8DB4D4}" name="n+4" dataDxfId="3" dataCellStyle="Normal"/>
    <tableColumn id="13" xr3:uid="{A7BC7E7A-DABF-7240-8DCA-22E7CE2CD9FF}" name="n+5" dataDxfId="0" dataCellStyle="Normal" totalsRowCellStyle="Norma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ADCF-E603-794B-BB0B-99C3AFC9610D}">
  <dimension ref="B1:M28"/>
  <sheetViews>
    <sheetView showGridLines="0" zoomScale="110" workbookViewId="0">
      <selection activeCell="F31" sqref="F31"/>
    </sheetView>
  </sheetViews>
  <sheetFormatPr baseColWidth="10" defaultRowHeight="16" x14ac:dyDescent="0.2"/>
  <cols>
    <col min="2" max="2" width="24.83203125" customWidth="1"/>
    <col min="3" max="10" width="11" customWidth="1"/>
    <col min="11" max="12" width="12" customWidth="1"/>
  </cols>
  <sheetData>
    <row r="1" spans="2:13" ht="17" thickBot="1" x14ac:dyDescent="0.25"/>
    <row r="2" spans="2:13" x14ac:dyDescent="0.2">
      <c r="B2" s="2" t="s">
        <v>0</v>
      </c>
      <c r="C2" s="3"/>
      <c r="D2" s="3"/>
      <c r="E2" s="3"/>
      <c r="F2" s="3"/>
      <c r="G2" s="3"/>
      <c r="H2" s="3"/>
      <c r="I2" s="3"/>
      <c r="J2" s="3"/>
      <c r="K2" s="3"/>
      <c r="L2" s="4"/>
    </row>
    <row r="3" spans="2:13" x14ac:dyDescent="0.2">
      <c r="B3" s="5"/>
      <c r="C3" s="6"/>
      <c r="D3" s="6"/>
      <c r="E3" s="6"/>
      <c r="F3" s="6"/>
      <c r="G3" s="6"/>
      <c r="H3" s="6"/>
      <c r="I3" s="6"/>
      <c r="J3" s="6"/>
      <c r="K3" s="6"/>
      <c r="L3" s="7"/>
    </row>
    <row r="4" spans="2:13" x14ac:dyDescent="0.2">
      <c r="B4" s="5"/>
      <c r="C4" s="6"/>
      <c r="D4" s="6"/>
      <c r="E4" s="6"/>
      <c r="F4" s="6"/>
      <c r="G4" s="6"/>
      <c r="H4" s="6"/>
      <c r="I4" s="6"/>
      <c r="J4" s="6"/>
      <c r="K4" s="6"/>
      <c r="L4" s="7"/>
    </row>
    <row r="5" spans="2:13" x14ac:dyDescent="0.2">
      <c r="B5" s="5"/>
      <c r="C5" s="6"/>
      <c r="D5" s="6"/>
      <c r="E5" s="6"/>
      <c r="F5" s="6"/>
      <c r="G5" s="6"/>
      <c r="H5" s="6"/>
      <c r="I5" s="6"/>
      <c r="J5" s="6"/>
      <c r="K5" s="6"/>
      <c r="L5" s="7"/>
    </row>
    <row r="6" spans="2:13" x14ac:dyDescent="0.2">
      <c r="B6" s="5"/>
      <c r="C6" s="6"/>
      <c r="D6" s="6"/>
      <c r="E6" s="6"/>
      <c r="F6" s="6"/>
      <c r="G6" s="6"/>
      <c r="H6" s="6"/>
      <c r="I6" s="6"/>
      <c r="J6" s="6"/>
      <c r="K6" s="6"/>
      <c r="L6" s="7"/>
    </row>
    <row r="7" spans="2:13" x14ac:dyDescent="0.2">
      <c r="B7" s="5"/>
      <c r="C7" s="6"/>
      <c r="D7" s="6"/>
      <c r="E7" s="6"/>
      <c r="F7" s="6"/>
      <c r="G7" s="6"/>
      <c r="H7" s="6"/>
      <c r="I7" s="6"/>
      <c r="J7" s="6"/>
      <c r="K7" s="6"/>
      <c r="L7" s="7"/>
    </row>
    <row r="8" spans="2:13" ht="17" thickBot="1" x14ac:dyDescent="0.25">
      <c r="B8" s="8"/>
      <c r="C8" s="9"/>
      <c r="D8" s="9"/>
      <c r="E8" s="9"/>
      <c r="F8" s="9"/>
      <c r="G8" s="9"/>
      <c r="H8" s="9"/>
      <c r="I8" s="9"/>
      <c r="J8" s="9"/>
      <c r="K8" s="9"/>
      <c r="L8" s="10"/>
    </row>
    <row r="9" spans="2:13" ht="17" thickBot="1" x14ac:dyDescent="0.25"/>
    <row r="10" spans="2:13" ht="17" thickBot="1" x14ac:dyDescent="0.25">
      <c r="B10" s="43" t="s">
        <v>19</v>
      </c>
      <c r="C10" s="36"/>
      <c r="D10" s="36"/>
      <c r="E10" s="36"/>
      <c r="F10" s="36"/>
      <c r="G10" s="36"/>
      <c r="H10" s="37"/>
    </row>
    <row r="11" spans="2:13" ht="17" thickBot="1" x14ac:dyDescent="0.25">
      <c r="B11" s="12" t="s">
        <v>2</v>
      </c>
      <c r="C11" s="38" t="s">
        <v>3</v>
      </c>
      <c r="D11" s="38" t="s">
        <v>5</v>
      </c>
      <c r="E11" s="38" t="s">
        <v>16</v>
      </c>
      <c r="F11" s="38" t="s">
        <v>6</v>
      </c>
      <c r="G11" s="38" t="s">
        <v>7</v>
      </c>
      <c r="H11" s="39" t="s">
        <v>8</v>
      </c>
      <c r="I11" s="11"/>
      <c r="J11" s="11"/>
      <c r="K11" s="11"/>
      <c r="L11" s="11"/>
      <c r="M11" s="11"/>
    </row>
    <row r="12" spans="2:13" x14ac:dyDescent="0.2">
      <c r="B12" s="19" t="s">
        <v>4</v>
      </c>
      <c r="C12" s="20">
        <v>165</v>
      </c>
      <c r="D12" s="20">
        <v>200</v>
      </c>
      <c r="E12" s="20">
        <v>240</v>
      </c>
      <c r="F12" s="20">
        <v>280</v>
      </c>
      <c r="G12" s="20">
        <v>320</v>
      </c>
      <c r="H12" s="22">
        <v>360</v>
      </c>
      <c r="I12" s="11"/>
      <c r="J12" s="11"/>
      <c r="K12" s="11"/>
      <c r="L12" s="11"/>
      <c r="M12" s="11"/>
    </row>
    <row r="13" spans="2:13" x14ac:dyDescent="0.2">
      <c r="B13" s="19" t="s">
        <v>9</v>
      </c>
      <c r="C13" s="20">
        <v>165</v>
      </c>
      <c r="D13" s="20">
        <v>175</v>
      </c>
      <c r="E13" s="20">
        <v>180</v>
      </c>
      <c r="F13" s="20">
        <v>185</v>
      </c>
      <c r="G13" s="20">
        <v>180</v>
      </c>
      <c r="H13" s="21">
        <v>190</v>
      </c>
      <c r="I13" s="11"/>
      <c r="J13" s="11"/>
      <c r="K13" s="11"/>
      <c r="L13" s="11"/>
      <c r="M13" s="11"/>
    </row>
    <row r="14" spans="2:13" x14ac:dyDescent="0.2">
      <c r="B14" s="14" t="s">
        <v>10</v>
      </c>
      <c r="C14" s="23">
        <f>C12-C13</f>
        <v>0</v>
      </c>
      <c r="D14" s="23">
        <f t="shared" ref="D14:H14" si="0">D12-D13</f>
        <v>25</v>
      </c>
      <c r="E14" s="23">
        <f t="shared" si="0"/>
        <v>60</v>
      </c>
      <c r="F14" s="23">
        <f t="shared" si="0"/>
        <v>95</v>
      </c>
      <c r="G14" s="23">
        <f t="shared" si="0"/>
        <v>140</v>
      </c>
      <c r="H14" s="23">
        <f t="shared" si="0"/>
        <v>170</v>
      </c>
      <c r="I14" s="11"/>
      <c r="J14" s="11"/>
      <c r="K14" s="11"/>
      <c r="L14" s="11"/>
      <c r="M14" s="11"/>
    </row>
    <row r="15" spans="2:13" x14ac:dyDescent="0.2">
      <c r="B15" s="11" t="s">
        <v>11</v>
      </c>
      <c r="C15" s="20">
        <v>-200</v>
      </c>
      <c r="D15" s="24">
        <f>0</f>
        <v>0</v>
      </c>
      <c r="E15" s="24">
        <f>0</f>
        <v>0</v>
      </c>
      <c r="F15" s="24">
        <f>0</f>
        <v>0</v>
      </c>
      <c r="G15" s="24">
        <f>0</f>
        <v>0</v>
      </c>
      <c r="H15" s="25">
        <f>0</f>
        <v>0</v>
      </c>
      <c r="I15" s="11"/>
      <c r="J15" s="11"/>
      <c r="K15" s="11"/>
      <c r="L15" s="11"/>
      <c r="M15" s="11"/>
    </row>
    <row r="16" spans="2:13" x14ac:dyDescent="0.2">
      <c r="B16" s="14" t="s">
        <v>12</v>
      </c>
      <c r="C16" s="23">
        <f>C14+C15</f>
        <v>-200</v>
      </c>
      <c r="D16" s="23">
        <f>D14+D15</f>
        <v>25</v>
      </c>
      <c r="E16" s="23">
        <f t="shared" ref="E16:H16" si="1">E14+E15</f>
        <v>60</v>
      </c>
      <c r="F16" s="23">
        <f t="shared" si="1"/>
        <v>95</v>
      </c>
      <c r="G16" s="23">
        <f t="shared" si="1"/>
        <v>140</v>
      </c>
      <c r="H16" s="23">
        <f t="shared" si="1"/>
        <v>170</v>
      </c>
      <c r="I16" s="11"/>
      <c r="J16" s="11"/>
      <c r="K16" s="11"/>
      <c r="L16" s="11"/>
      <c r="M16" s="11"/>
    </row>
    <row r="17" spans="2:13" x14ac:dyDescent="0.2">
      <c r="B17" s="11" t="s">
        <v>13</v>
      </c>
      <c r="C17" s="20"/>
      <c r="D17" s="20"/>
      <c r="E17" s="20"/>
      <c r="F17" s="20"/>
      <c r="G17" s="20"/>
      <c r="H17" s="21"/>
      <c r="I17" s="11"/>
      <c r="J17" s="11"/>
      <c r="K17" s="11"/>
      <c r="L17" s="11"/>
      <c r="M17" s="11"/>
    </row>
    <row r="18" spans="2:13" x14ac:dyDescent="0.2">
      <c r="B18" s="11" t="s">
        <v>14</v>
      </c>
      <c r="C18" s="24">
        <f>-(5/100)*100</f>
        <v>-5</v>
      </c>
      <c r="D18" s="24">
        <f t="shared" ref="D18:G18" si="2">-(5/100)*100</f>
        <v>-5</v>
      </c>
      <c r="E18" s="24">
        <f t="shared" si="2"/>
        <v>-5</v>
      </c>
      <c r="F18" s="24">
        <f t="shared" si="2"/>
        <v>-5</v>
      </c>
      <c r="G18" s="24">
        <f t="shared" si="2"/>
        <v>-5</v>
      </c>
      <c r="H18" s="25">
        <f>-(5/100)*100-100</f>
        <v>-105</v>
      </c>
      <c r="I18" s="11"/>
      <c r="J18" s="11"/>
      <c r="K18" s="11"/>
      <c r="L18" s="11"/>
      <c r="M18" s="11"/>
    </row>
    <row r="19" spans="2:13" ht="17" thickBot="1" x14ac:dyDescent="0.25">
      <c r="B19" s="11" t="s">
        <v>15</v>
      </c>
      <c r="C19" s="26">
        <f>IF(C16-C18 &gt; 0, C16+C18, 0)</f>
        <v>0</v>
      </c>
      <c r="D19" s="26">
        <f t="shared" ref="D19:H19" si="3">IF(D16-D18 &gt; 0, D16+D18, 0)</f>
        <v>20</v>
      </c>
      <c r="E19" s="26">
        <f t="shared" si="3"/>
        <v>55</v>
      </c>
      <c r="F19" s="26">
        <f t="shared" si="3"/>
        <v>90</v>
      </c>
      <c r="G19" s="26">
        <f t="shared" si="3"/>
        <v>135</v>
      </c>
      <c r="H19" s="26">
        <f t="shared" si="3"/>
        <v>65</v>
      </c>
      <c r="I19" s="11"/>
      <c r="J19" s="11"/>
      <c r="K19" s="11"/>
      <c r="L19" s="11"/>
      <c r="M19" s="11"/>
    </row>
    <row r="21" spans="2:13" x14ac:dyDescent="0.2">
      <c r="B21" s="27" t="s">
        <v>17</v>
      </c>
      <c r="C21" s="28"/>
      <c r="D21" s="28"/>
      <c r="E21" s="28"/>
      <c r="F21" s="28"/>
      <c r="G21" s="28"/>
      <c r="H21" s="28"/>
      <c r="I21" s="28"/>
      <c r="J21" s="28"/>
      <c r="K21" s="28"/>
      <c r="L21" s="29"/>
    </row>
    <row r="22" spans="2:13" x14ac:dyDescent="0.2">
      <c r="B22" s="30"/>
      <c r="C22" s="31"/>
      <c r="D22" s="31"/>
      <c r="E22" s="31"/>
      <c r="F22" s="31"/>
      <c r="G22" s="31"/>
      <c r="H22" s="31"/>
      <c r="I22" s="31"/>
      <c r="J22" s="31"/>
      <c r="K22" s="31"/>
      <c r="L22" s="32"/>
    </row>
    <row r="23" spans="2:13" x14ac:dyDescent="0.2">
      <c r="B23" s="33"/>
      <c r="C23" s="34"/>
      <c r="D23" s="34"/>
      <c r="E23" s="34"/>
      <c r="F23" s="34"/>
      <c r="G23" s="34"/>
      <c r="H23" s="34"/>
      <c r="I23" s="34"/>
      <c r="J23" s="34"/>
      <c r="K23" s="34"/>
      <c r="L23" s="35"/>
    </row>
    <row r="26" spans="2:13" x14ac:dyDescent="0.2">
      <c r="B26" s="1" t="s">
        <v>18</v>
      </c>
      <c r="C26" s="1"/>
      <c r="D26" s="1"/>
      <c r="E26" s="1"/>
      <c r="F26" s="1"/>
      <c r="G26" s="1"/>
      <c r="H26" s="1"/>
      <c r="I26" s="1"/>
      <c r="J26" s="1"/>
      <c r="K26" s="1"/>
      <c r="L26" s="1"/>
    </row>
    <row r="27" spans="2:13" x14ac:dyDescent="0.2">
      <c r="B27" s="1"/>
      <c r="C27" s="1"/>
      <c r="D27" s="1"/>
      <c r="E27" s="1"/>
      <c r="F27" s="1"/>
      <c r="G27" s="1"/>
      <c r="H27" s="1"/>
      <c r="I27" s="1"/>
      <c r="J27" s="1"/>
      <c r="K27" s="1"/>
      <c r="L27" s="1"/>
    </row>
    <row r="28" spans="2:13" x14ac:dyDescent="0.2">
      <c r="B28" s="1"/>
      <c r="C28" s="1"/>
      <c r="D28" s="1"/>
      <c r="E28" s="1"/>
      <c r="F28" s="1"/>
      <c r="G28" s="1"/>
      <c r="H28" s="1"/>
      <c r="I28" s="1"/>
      <c r="J28" s="1"/>
      <c r="K28" s="1"/>
      <c r="L28" s="1"/>
    </row>
  </sheetData>
  <mergeCells count="4">
    <mergeCell ref="B2:L8"/>
    <mergeCell ref="B21:L23"/>
    <mergeCell ref="B26:L28"/>
    <mergeCell ref="B10:H10"/>
  </mergeCells>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71F1-ABC4-E44C-9CA9-8B77AC758332}">
  <dimension ref="B1:AL57"/>
  <sheetViews>
    <sheetView showGridLines="0" tabSelected="1" zoomScale="75" workbookViewId="0">
      <selection activeCell="O56" sqref="O56"/>
    </sheetView>
  </sheetViews>
  <sheetFormatPr baseColWidth="10" defaultRowHeight="16" x14ac:dyDescent="0.2"/>
  <cols>
    <col min="2" max="2" width="25.6640625" customWidth="1"/>
  </cols>
  <sheetData>
    <row r="1" spans="2:15" ht="17" thickBot="1" x14ac:dyDescent="0.25"/>
    <row r="2" spans="2:15" x14ac:dyDescent="0.2">
      <c r="B2" s="2" t="s">
        <v>46</v>
      </c>
      <c r="C2" s="44"/>
      <c r="D2" s="44"/>
      <c r="E2" s="44"/>
      <c r="F2" s="44"/>
      <c r="G2" s="44"/>
      <c r="H2" s="44"/>
      <c r="I2" s="44"/>
      <c r="J2" s="44"/>
      <c r="K2" s="44"/>
      <c r="L2" s="44"/>
      <c r="M2" s="44"/>
      <c r="N2" s="44"/>
      <c r="O2" s="45"/>
    </row>
    <row r="3" spans="2:15" x14ac:dyDescent="0.2">
      <c r="B3" s="46"/>
      <c r="C3" s="31"/>
      <c r="D3" s="31"/>
      <c r="E3" s="31"/>
      <c r="F3" s="31"/>
      <c r="G3" s="31"/>
      <c r="H3" s="31"/>
      <c r="I3" s="31"/>
      <c r="J3" s="31"/>
      <c r="K3" s="31"/>
      <c r="L3" s="31"/>
      <c r="M3" s="31"/>
      <c r="N3" s="31"/>
      <c r="O3" s="47"/>
    </row>
    <row r="4" spans="2:15" x14ac:dyDescent="0.2">
      <c r="B4" s="46"/>
      <c r="C4" s="31"/>
      <c r="D4" s="31"/>
      <c r="E4" s="31"/>
      <c r="F4" s="31"/>
      <c r="G4" s="31"/>
      <c r="H4" s="31"/>
      <c r="I4" s="31"/>
      <c r="J4" s="31"/>
      <c r="K4" s="31"/>
      <c r="L4" s="31"/>
      <c r="M4" s="31"/>
      <c r="N4" s="31"/>
      <c r="O4" s="47"/>
    </row>
    <row r="5" spans="2:15" x14ac:dyDescent="0.2">
      <c r="B5" s="46"/>
      <c r="C5" s="31"/>
      <c r="D5" s="31"/>
      <c r="E5" s="31"/>
      <c r="F5" s="31"/>
      <c r="G5" s="31"/>
      <c r="H5" s="31"/>
      <c r="I5" s="31"/>
      <c r="J5" s="31"/>
      <c r="K5" s="31"/>
      <c r="L5" s="31"/>
      <c r="M5" s="31"/>
      <c r="N5" s="31"/>
      <c r="O5" s="47"/>
    </row>
    <row r="6" spans="2:15" ht="17" thickBot="1" x14ac:dyDescent="0.25">
      <c r="B6" s="48"/>
      <c r="C6" s="49"/>
      <c r="D6" s="49"/>
      <c r="E6" s="49"/>
      <c r="F6" s="49"/>
      <c r="G6" s="49"/>
      <c r="H6" s="49"/>
      <c r="I6" s="49"/>
      <c r="J6" s="49"/>
      <c r="K6" s="49"/>
      <c r="L6" s="49"/>
      <c r="M6" s="49"/>
      <c r="N6" s="49"/>
      <c r="O6" s="50"/>
    </row>
    <row r="9" spans="2:15" x14ac:dyDescent="0.2">
      <c r="B9" s="40" t="s">
        <v>20</v>
      </c>
      <c r="C9" s="42"/>
      <c r="D9" s="40" t="s">
        <v>23</v>
      </c>
      <c r="E9" s="42"/>
      <c r="F9" s="40" t="s">
        <v>24</v>
      </c>
      <c r="G9" s="42"/>
      <c r="H9" s="40" t="s">
        <v>25</v>
      </c>
      <c r="I9" s="42"/>
      <c r="J9" s="40" t="s">
        <v>26</v>
      </c>
      <c r="K9" s="42"/>
    </row>
    <row r="10" spans="2:15" x14ac:dyDescent="0.2">
      <c r="B10" s="51" t="s">
        <v>21</v>
      </c>
      <c r="C10" s="52" t="s">
        <v>22</v>
      </c>
      <c r="D10" s="52" t="s">
        <v>21</v>
      </c>
      <c r="E10" s="52" t="s">
        <v>22</v>
      </c>
      <c r="F10" s="52" t="s">
        <v>21</v>
      </c>
      <c r="G10" s="52" t="s">
        <v>22</v>
      </c>
      <c r="H10" s="52" t="s">
        <v>21</v>
      </c>
      <c r="I10" s="52" t="s">
        <v>22</v>
      </c>
      <c r="J10" s="52" t="s">
        <v>21</v>
      </c>
      <c r="K10" s="53" t="s">
        <v>22</v>
      </c>
    </row>
    <row r="11" spans="2:15" x14ac:dyDescent="0.2">
      <c r="B11" s="54">
        <v>1</v>
      </c>
      <c r="C11" s="55">
        <v>0.9</v>
      </c>
      <c r="D11" s="55">
        <v>0.8</v>
      </c>
      <c r="E11" s="55">
        <v>0.7</v>
      </c>
      <c r="F11" s="55">
        <v>0.6</v>
      </c>
      <c r="G11" s="55">
        <v>0.5</v>
      </c>
      <c r="H11" s="55">
        <v>0.4</v>
      </c>
      <c r="I11" s="55">
        <v>0.3</v>
      </c>
      <c r="J11" s="55">
        <v>0.2</v>
      </c>
      <c r="K11" s="56">
        <v>0.1</v>
      </c>
    </row>
    <row r="12" spans="2:15" ht="17" thickBot="1" x14ac:dyDescent="0.25"/>
    <row r="13" spans="2:15" ht="16" customHeight="1" x14ac:dyDescent="0.2">
      <c r="B13" s="2" t="s">
        <v>27</v>
      </c>
      <c r="C13" s="44"/>
      <c r="D13" s="44"/>
      <c r="E13" s="44"/>
      <c r="F13" s="44"/>
      <c r="G13" s="44"/>
      <c r="H13" s="44"/>
      <c r="I13" s="44"/>
      <c r="J13" s="44"/>
      <c r="K13" s="44"/>
      <c r="L13" s="44"/>
      <c r="M13" s="44"/>
      <c r="N13" s="44"/>
      <c r="O13" s="45"/>
    </row>
    <row r="14" spans="2:15" x14ac:dyDescent="0.2">
      <c r="B14" s="46"/>
      <c r="C14" s="31"/>
      <c r="D14" s="31"/>
      <c r="E14" s="31"/>
      <c r="F14" s="31"/>
      <c r="G14" s="31"/>
      <c r="H14" s="31"/>
      <c r="I14" s="31"/>
      <c r="J14" s="31"/>
      <c r="K14" s="31"/>
      <c r="L14" s="31"/>
      <c r="M14" s="31"/>
      <c r="N14" s="31"/>
      <c r="O14" s="47"/>
    </row>
    <row r="15" spans="2:15" x14ac:dyDescent="0.2">
      <c r="B15" s="46"/>
      <c r="C15" s="31"/>
      <c r="D15" s="31"/>
      <c r="E15" s="31"/>
      <c r="F15" s="31"/>
      <c r="G15" s="31"/>
      <c r="H15" s="31"/>
      <c r="I15" s="31"/>
      <c r="J15" s="31"/>
      <c r="K15" s="31"/>
      <c r="L15" s="31"/>
      <c r="M15" s="31"/>
      <c r="N15" s="31"/>
      <c r="O15" s="47"/>
    </row>
    <row r="16" spans="2:15" x14ac:dyDescent="0.2">
      <c r="B16" s="46"/>
      <c r="C16" s="31"/>
      <c r="D16" s="31"/>
      <c r="E16" s="31"/>
      <c r="F16" s="31"/>
      <c r="G16" s="31"/>
      <c r="H16" s="31"/>
      <c r="I16" s="31"/>
      <c r="J16" s="31"/>
      <c r="K16" s="31"/>
      <c r="L16" s="31"/>
      <c r="M16" s="31"/>
      <c r="N16" s="31"/>
      <c r="O16" s="47"/>
    </row>
    <row r="17" spans="2:38" x14ac:dyDescent="0.2">
      <c r="B17" s="46"/>
      <c r="C17" s="31"/>
      <c r="D17" s="31"/>
      <c r="E17" s="31"/>
      <c r="F17" s="31"/>
      <c r="G17" s="31"/>
      <c r="H17" s="31"/>
      <c r="I17" s="31"/>
      <c r="J17" s="31"/>
      <c r="K17" s="31"/>
      <c r="L17" s="31"/>
      <c r="M17" s="31"/>
      <c r="N17" s="31"/>
      <c r="O17" s="47"/>
    </row>
    <row r="18" spans="2:38" x14ac:dyDescent="0.2">
      <c r="B18" s="46"/>
      <c r="C18" s="31"/>
      <c r="D18" s="31"/>
      <c r="E18" s="31"/>
      <c r="F18" s="31"/>
      <c r="G18" s="31"/>
      <c r="H18" s="31"/>
      <c r="I18" s="31"/>
      <c r="J18" s="31"/>
      <c r="K18" s="31"/>
      <c r="L18" s="31"/>
      <c r="M18" s="31"/>
      <c r="N18" s="31"/>
      <c r="O18" s="47"/>
    </row>
    <row r="19" spans="2:38" x14ac:dyDescent="0.2">
      <c r="B19" s="46"/>
      <c r="C19" s="31"/>
      <c r="D19" s="31"/>
      <c r="E19" s="31"/>
      <c r="F19" s="31"/>
      <c r="G19" s="31"/>
      <c r="H19" s="31"/>
      <c r="I19" s="31"/>
      <c r="J19" s="31"/>
      <c r="K19" s="31"/>
      <c r="L19" s="31"/>
      <c r="M19" s="31"/>
      <c r="N19" s="31"/>
      <c r="O19" s="47"/>
    </row>
    <row r="20" spans="2:38" x14ac:dyDescent="0.2">
      <c r="B20" s="46"/>
      <c r="C20" s="31"/>
      <c r="D20" s="31"/>
      <c r="E20" s="31"/>
      <c r="F20" s="31"/>
      <c r="G20" s="31"/>
      <c r="H20" s="31"/>
      <c r="I20" s="31"/>
      <c r="J20" s="31"/>
      <c r="K20" s="31"/>
      <c r="L20" s="31"/>
      <c r="M20" s="31"/>
      <c r="N20" s="31"/>
      <c r="O20" s="47"/>
    </row>
    <row r="21" spans="2:38" x14ac:dyDescent="0.2">
      <c r="B21" s="46"/>
      <c r="C21" s="31"/>
      <c r="D21" s="31"/>
      <c r="E21" s="31"/>
      <c r="F21" s="31"/>
      <c r="G21" s="31"/>
      <c r="H21" s="31"/>
      <c r="I21" s="31"/>
      <c r="J21" s="31"/>
      <c r="K21" s="31"/>
      <c r="L21" s="31"/>
      <c r="M21" s="31"/>
      <c r="N21" s="31"/>
      <c r="O21" s="47"/>
    </row>
    <row r="22" spans="2:38" x14ac:dyDescent="0.2">
      <c r="B22" s="46"/>
      <c r="C22" s="31"/>
      <c r="D22" s="31"/>
      <c r="E22" s="31"/>
      <c r="F22" s="31"/>
      <c r="G22" s="31"/>
      <c r="H22" s="31"/>
      <c r="I22" s="31"/>
      <c r="J22" s="31"/>
      <c r="K22" s="31"/>
      <c r="L22" s="31"/>
      <c r="M22" s="31"/>
      <c r="N22" s="31"/>
      <c r="O22" s="47"/>
    </row>
    <row r="23" spans="2:38" x14ac:dyDescent="0.2">
      <c r="B23" s="46"/>
      <c r="C23" s="31"/>
      <c r="D23" s="31"/>
      <c r="E23" s="31"/>
      <c r="F23" s="31"/>
      <c r="G23" s="31"/>
      <c r="H23" s="31"/>
      <c r="I23" s="31"/>
      <c r="J23" s="31"/>
      <c r="K23" s="31"/>
      <c r="L23" s="31"/>
      <c r="M23" s="31"/>
      <c r="N23" s="31"/>
      <c r="O23" s="47"/>
    </row>
    <row r="24" spans="2:38" ht="17" thickBot="1" x14ac:dyDescent="0.25">
      <c r="B24" s="48"/>
      <c r="C24" s="49"/>
      <c r="D24" s="49"/>
      <c r="E24" s="49"/>
      <c r="F24" s="49"/>
      <c r="G24" s="49"/>
      <c r="H24" s="49"/>
      <c r="I24" s="49"/>
      <c r="J24" s="49"/>
      <c r="K24" s="49"/>
      <c r="L24" s="49"/>
      <c r="M24" s="49"/>
      <c r="N24" s="49"/>
      <c r="O24" s="50"/>
    </row>
    <row r="27" spans="2:38" x14ac:dyDescent="0.2">
      <c r="C27" s="78" t="s">
        <v>20</v>
      </c>
      <c r="D27" s="79"/>
      <c r="E27" s="79"/>
      <c r="F27" s="79"/>
      <c r="G27" s="79"/>
      <c r="H27" s="79"/>
      <c r="I27" s="79"/>
      <c r="J27" s="79"/>
      <c r="K27" s="79"/>
      <c r="L27" s="79"/>
      <c r="M27" s="79"/>
      <c r="N27" s="80"/>
      <c r="O27" s="40" t="s">
        <v>23</v>
      </c>
      <c r="P27" s="41"/>
      <c r="Q27" s="41"/>
      <c r="R27" s="41"/>
      <c r="S27" s="41"/>
      <c r="T27" s="41"/>
      <c r="U27" s="41"/>
      <c r="V27" s="41"/>
      <c r="W27" s="41"/>
      <c r="X27" s="41"/>
      <c r="Y27" s="41"/>
      <c r="Z27" s="42"/>
      <c r="AA27" s="40" t="s">
        <v>24</v>
      </c>
      <c r="AB27" s="41"/>
      <c r="AC27" s="41"/>
      <c r="AD27" s="41"/>
      <c r="AE27" s="41"/>
      <c r="AF27" s="41"/>
      <c r="AG27" s="41"/>
      <c r="AH27" s="41"/>
      <c r="AI27" s="41"/>
      <c r="AJ27" s="41"/>
      <c r="AK27" s="41"/>
      <c r="AL27" s="42"/>
    </row>
    <row r="28" spans="2:38" x14ac:dyDescent="0.2">
      <c r="B28" s="14"/>
      <c r="C28" s="16" t="s">
        <v>28</v>
      </c>
      <c r="D28" s="17" t="s">
        <v>29</v>
      </c>
      <c r="E28" s="17" t="s">
        <v>30</v>
      </c>
      <c r="F28" s="17" t="s">
        <v>31</v>
      </c>
      <c r="G28" s="17" t="s">
        <v>32</v>
      </c>
      <c r="H28" s="17" t="s">
        <v>21</v>
      </c>
      <c r="I28" s="17" t="s">
        <v>33</v>
      </c>
      <c r="J28" s="17" t="s">
        <v>34</v>
      </c>
      <c r="K28" s="17" t="s">
        <v>35</v>
      </c>
      <c r="L28" s="17" t="s">
        <v>36</v>
      </c>
      <c r="M28" s="17" t="s">
        <v>37</v>
      </c>
      <c r="N28" s="17" t="s">
        <v>22</v>
      </c>
      <c r="O28" s="16" t="s">
        <v>28</v>
      </c>
      <c r="P28" s="17" t="s">
        <v>29</v>
      </c>
      <c r="Q28" s="17" t="s">
        <v>30</v>
      </c>
      <c r="R28" s="17" t="s">
        <v>31</v>
      </c>
      <c r="S28" s="17" t="s">
        <v>32</v>
      </c>
      <c r="T28" s="17" t="s">
        <v>21</v>
      </c>
      <c r="U28" s="17" t="s">
        <v>33</v>
      </c>
      <c r="V28" s="17" t="s">
        <v>34</v>
      </c>
      <c r="W28" s="17" t="s">
        <v>35</v>
      </c>
      <c r="X28" s="17" t="s">
        <v>36</v>
      </c>
      <c r="Y28" s="17" t="s">
        <v>37</v>
      </c>
      <c r="Z28" s="18" t="s">
        <v>22</v>
      </c>
      <c r="AA28" s="16" t="s">
        <v>28</v>
      </c>
      <c r="AB28" s="17" t="s">
        <v>29</v>
      </c>
      <c r="AC28" s="17" t="s">
        <v>30</v>
      </c>
      <c r="AD28" s="17" t="s">
        <v>31</v>
      </c>
      <c r="AE28" s="17" t="s">
        <v>32</v>
      </c>
      <c r="AF28" s="17" t="s">
        <v>21</v>
      </c>
      <c r="AG28" s="17" t="s">
        <v>33</v>
      </c>
      <c r="AH28" s="17" t="s">
        <v>34</v>
      </c>
      <c r="AI28" s="17" t="s">
        <v>35</v>
      </c>
      <c r="AJ28" s="17" t="s">
        <v>36</v>
      </c>
      <c r="AK28" s="17" t="s">
        <v>37</v>
      </c>
      <c r="AL28" s="18" t="s">
        <v>22</v>
      </c>
    </row>
    <row r="29" spans="2:38" x14ac:dyDescent="0.2">
      <c r="B29" s="70" t="s">
        <v>38</v>
      </c>
      <c r="C29" s="65">
        <v>0</v>
      </c>
      <c r="D29" s="60">
        <v>0</v>
      </c>
      <c r="E29" s="60">
        <v>0</v>
      </c>
      <c r="F29" s="60">
        <v>0</v>
      </c>
      <c r="G29" s="60">
        <v>12</v>
      </c>
      <c r="H29" s="60">
        <v>12</v>
      </c>
      <c r="I29" s="60">
        <v>12</v>
      </c>
      <c r="J29" s="60">
        <v>12</v>
      </c>
      <c r="K29" s="60">
        <v>12</v>
      </c>
      <c r="L29" s="60">
        <v>12</v>
      </c>
      <c r="M29" s="60">
        <v>12</v>
      </c>
      <c r="N29" s="60">
        <v>12</v>
      </c>
      <c r="O29" s="65">
        <v>12</v>
      </c>
      <c r="P29" s="60">
        <v>12</v>
      </c>
      <c r="Q29" s="60">
        <v>12</v>
      </c>
      <c r="R29" s="60">
        <v>12</v>
      </c>
      <c r="S29" s="60">
        <v>12</v>
      </c>
      <c r="T29" s="60">
        <v>12</v>
      </c>
      <c r="U29" s="60">
        <v>12</v>
      </c>
      <c r="V29" s="60">
        <v>12</v>
      </c>
      <c r="W29" s="60">
        <v>12</v>
      </c>
      <c r="X29" s="60">
        <v>12</v>
      </c>
      <c r="Y29" s="60">
        <v>12</v>
      </c>
      <c r="Z29" s="61">
        <v>12</v>
      </c>
      <c r="AA29" s="65">
        <v>12</v>
      </c>
      <c r="AB29" s="60">
        <v>12</v>
      </c>
      <c r="AC29" s="60">
        <v>12</v>
      </c>
      <c r="AD29" s="60">
        <v>12</v>
      </c>
      <c r="AE29" s="60">
        <v>12</v>
      </c>
      <c r="AF29" s="60">
        <v>12</v>
      </c>
      <c r="AG29" s="60">
        <v>12</v>
      </c>
      <c r="AH29" s="60">
        <v>12</v>
      </c>
      <c r="AI29" s="60">
        <v>12</v>
      </c>
      <c r="AJ29" s="60">
        <v>12</v>
      </c>
      <c r="AK29" s="60">
        <v>12</v>
      </c>
      <c r="AL29" s="61">
        <v>12</v>
      </c>
    </row>
    <row r="30" spans="2:38" x14ac:dyDescent="0.2">
      <c r="B30" s="19" t="s">
        <v>39</v>
      </c>
      <c r="C30" s="65">
        <v>0</v>
      </c>
      <c r="D30" s="60">
        <v>0</v>
      </c>
      <c r="E30" s="60">
        <v>0</v>
      </c>
      <c r="F30" s="60">
        <v>8</v>
      </c>
      <c r="G30" s="60">
        <v>4</v>
      </c>
      <c r="H30" s="60">
        <v>4</v>
      </c>
      <c r="I30" s="60">
        <v>4</v>
      </c>
      <c r="J30" s="60">
        <v>4</v>
      </c>
      <c r="K30" s="60">
        <v>4</v>
      </c>
      <c r="L30" s="60">
        <v>4</v>
      </c>
      <c r="M30" s="60">
        <v>4</v>
      </c>
      <c r="N30" s="60">
        <v>4</v>
      </c>
      <c r="O30" s="65">
        <v>4</v>
      </c>
      <c r="P30" s="60">
        <v>4</v>
      </c>
      <c r="Q30" s="60">
        <v>4</v>
      </c>
      <c r="R30" s="60">
        <v>4</v>
      </c>
      <c r="S30" s="60">
        <v>4</v>
      </c>
      <c r="T30" s="60">
        <v>4</v>
      </c>
      <c r="U30" s="60">
        <v>4</v>
      </c>
      <c r="V30" s="60">
        <v>4</v>
      </c>
      <c r="W30" s="60">
        <v>4</v>
      </c>
      <c r="X30" s="60">
        <v>4</v>
      </c>
      <c r="Y30" s="60">
        <v>4</v>
      </c>
      <c r="Z30" s="61">
        <v>4</v>
      </c>
      <c r="AA30" s="65">
        <v>4</v>
      </c>
      <c r="AB30" s="60">
        <v>4</v>
      </c>
      <c r="AC30" s="60">
        <v>4</v>
      </c>
      <c r="AD30" s="60">
        <v>4</v>
      </c>
      <c r="AE30" s="60">
        <v>4</v>
      </c>
      <c r="AF30" s="60">
        <v>4</v>
      </c>
      <c r="AG30" s="60">
        <v>4</v>
      </c>
      <c r="AH30" s="60">
        <v>4</v>
      </c>
      <c r="AI30" s="60">
        <v>4</v>
      </c>
      <c r="AJ30" s="60">
        <v>4</v>
      </c>
      <c r="AK30" s="60">
        <v>4</v>
      </c>
      <c r="AL30" s="61">
        <v>4</v>
      </c>
    </row>
    <row r="31" spans="2:38" x14ac:dyDescent="0.2">
      <c r="B31" s="19" t="s">
        <v>40</v>
      </c>
      <c r="C31" s="65">
        <v>4</v>
      </c>
      <c r="D31" s="60">
        <v>4</v>
      </c>
      <c r="E31" s="60">
        <v>4</v>
      </c>
      <c r="F31" s="60">
        <v>4</v>
      </c>
      <c r="G31" s="60">
        <v>4</v>
      </c>
      <c r="H31" s="60">
        <v>4</v>
      </c>
      <c r="I31" s="60">
        <v>4</v>
      </c>
      <c r="J31" s="60">
        <v>4</v>
      </c>
      <c r="K31" s="60">
        <v>4</v>
      </c>
      <c r="L31" s="60">
        <v>4</v>
      </c>
      <c r="M31" s="60">
        <v>4</v>
      </c>
      <c r="N31" s="60">
        <v>4</v>
      </c>
      <c r="O31" s="65">
        <v>4</v>
      </c>
      <c r="P31" s="60">
        <v>4</v>
      </c>
      <c r="Q31" s="60">
        <v>4</v>
      </c>
      <c r="R31" s="60">
        <v>4</v>
      </c>
      <c r="S31" s="60">
        <v>4</v>
      </c>
      <c r="T31" s="60">
        <v>4</v>
      </c>
      <c r="U31" s="60">
        <v>4</v>
      </c>
      <c r="V31" s="60">
        <v>4</v>
      </c>
      <c r="W31" s="60">
        <v>4</v>
      </c>
      <c r="X31" s="60">
        <v>4</v>
      </c>
      <c r="Y31" s="60">
        <v>4</v>
      </c>
      <c r="Z31" s="61">
        <v>4</v>
      </c>
      <c r="AA31" s="65">
        <v>4</v>
      </c>
      <c r="AB31" s="60">
        <v>4</v>
      </c>
      <c r="AC31" s="60">
        <v>4</v>
      </c>
      <c r="AD31" s="60">
        <v>4</v>
      </c>
      <c r="AE31" s="60">
        <v>4</v>
      </c>
      <c r="AF31" s="60">
        <v>4</v>
      </c>
      <c r="AG31" s="60">
        <v>4</v>
      </c>
      <c r="AH31" s="60">
        <v>4</v>
      </c>
      <c r="AI31" s="60">
        <v>4</v>
      </c>
      <c r="AJ31" s="60">
        <v>4</v>
      </c>
      <c r="AK31" s="60">
        <v>4</v>
      </c>
      <c r="AL31" s="61">
        <v>4</v>
      </c>
    </row>
    <row r="32" spans="2:38" x14ac:dyDescent="0.2">
      <c r="B32" s="19" t="s">
        <v>41</v>
      </c>
      <c r="C32" s="65">
        <v>0</v>
      </c>
      <c r="D32" s="60">
        <v>2</v>
      </c>
      <c r="E32" s="60">
        <v>2</v>
      </c>
      <c r="F32" s="60">
        <v>2</v>
      </c>
      <c r="G32" s="60">
        <v>2</v>
      </c>
      <c r="H32" s="60">
        <v>2</v>
      </c>
      <c r="I32" s="60">
        <v>2</v>
      </c>
      <c r="J32" s="60">
        <v>2</v>
      </c>
      <c r="K32" s="60">
        <v>2</v>
      </c>
      <c r="L32" s="60">
        <v>2</v>
      </c>
      <c r="M32" s="60">
        <v>2</v>
      </c>
      <c r="N32" s="60">
        <v>2</v>
      </c>
      <c r="O32" s="65">
        <v>2</v>
      </c>
      <c r="P32" s="60">
        <v>2</v>
      </c>
      <c r="Q32" s="60">
        <v>2</v>
      </c>
      <c r="R32" s="60">
        <v>2</v>
      </c>
      <c r="S32" s="60">
        <v>2</v>
      </c>
      <c r="T32" s="60">
        <v>2</v>
      </c>
      <c r="U32" s="60">
        <v>2</v>
      </c>
      <c r="V32" s="60">
        <v>2</v>
      </c>
      <c r="W32" s="60">
        <v>2</v>
      </c>
      <c r="X32" s="60">
        <v>2</v>
      </c>
      <c r="Y32" s="60">
        <v>2</v>
      </c>
      <c r="Z32" s="61">
        <v>2</v>
      </c>
      <c r="AA32" s="65">
        <v>2</v>
      </c>
      <c r="AB32" s="60">
        <v>2</v>
      </c>
      <c r="AC32" s="60">
        <v>2</v>
      </c>
      <c r="AD32" s="60">
        <v>2</v>
      </c>
      <c r="AE32" s="60">
        <v>2</v>
      </c>
      <c r="AF32" s="60">
        <v>2</v>
      </c>
      <c r="AG32" s="60">
        <v>2</v>
      </c>
      <c r="AH32" s="60">
        <v>2</v>
      </c>
      <c r="AI32" s="60">
        <v>2</v>
      </c>
      <c r="AJ32" s="60">
        <v>2</v>
      </c>
      <c r="AK32" s="60">
        <v>2</v>
      </c>
      <c r="AL32" s="61">
        <v>2</v>
      </c>
    </row>
    <row r="33" spans="2:38" x14ac:dyDescent="0.2">
      <c r="B33" s="71" t="s">
        <v>9</v>
      </c>
      <c r="C33" s="65">
        <f>C30+C31+C32</f>
        <v>4</v>
      </c>
      <c r="D33" s="60">
        <f t="shared" ref="D33:Z33" si="0">D30+D31+D32</f>
        <v>6</v>
      </c>
      <c r="E33" s="60">
        <f t="shared" si="0"/>
        <v>6</v>
      </c>
      <c r="F33" s="60">
        <f t="shared" si="0"/>
        <v>14</v>
      </c>
      <c r="G33" s="60">
        <f t="shared" si="0"/>
        <v>10</v>
      </c>
      <c r="H33" s="60">
        <f t="shared" si="0"/>
        <v>10</v>
      </c>
      <c r="I33" s="60">
        <f t="shared" si="0"/>
        <v>10</v>
      </c>
      <c r="J33" s="60">
        <f t="shared" si="0"/>
        <v>10</v>
      </c>
      <c r="K33" s="60">
        <f t="shared" si="0"/>
        <v>10</v>
      </c>
      <c r="L33" s="60">
        <f t="shared" si="0"/>
        <v>10</v>
      </c>
      <c r="M33" s="60">
        <f t="shared" si="0"/>
        <v>10</v>
      </c>
      <c r="N33" s="60">
        <f t="shared" si="0"/>
        <v>10</v>
      </c>
      <c r="O33" s="65">
        <f t="shared" si="0"/>
        <v>10</v>
      </c>
      <c r="P33" s="60">
        <f t="shared" si="0"/>
        <v>10</v>
      </c>
      <c r="Q33" s="60">
        <f t="shared" si="0"/>
        <v>10</v>
      </c>
      <c r="R33" s="60">
        <f t="shared" si="0"/>
        <v>10</v>
      </c>
      <c r="S33" s="60">
        <f t="shared" si="0"/>
        <v>10</v>
      </c>
      <c r="T33" s="60">
        <f t="shared" si="0"/>
        <v>10</v>
      </c>
      <c r="U33" s="60">
        <f t="shared" si="0"/>
        <v>10</v>
      </c>
      <c r="V33" s="60">
        <f t="shared" si="0"/>
        <v>10</v>
      </c>
      <c r="W33" s="60">
        <f t="shared" si="0"/>
        <v>10</v>
      </c>
      <c r="X33" s="60">
        <f t="shared" si="0"/>
        <v>10</v>
      </c>
      <c r="Y33" s="60">
        <f t="shared" si="0"/>
        <v>10</v>
      </c>
      <c r="Z33" s="61">
        <f t="shared" si="0"/>
        <v>10</v>
      </c>
      <c r="AA33" s="65">
        <f t="shared" ref="AA33" si="1">AA30+AA31+AA32</f>
        <v>10</v>
      </c>
      <c r="AB33" s="60">
        <f t="shared" ref="AB33" si="2">AB30+AB31+AB32</f>
        <v>10</v>
      </c>
      <c r="AC33" s="60">
        <f t="shared" ref="AC33" si="3">AC30+AC31+AC32</f>
        <v>10</v>
      </c>
      <c r="AD33" s="60">
        <f t="shared" ref="AD33" si="4">AD30+AD31+AD32</f>
        <v>10</v>
      </c>
      <c r="AE33" s="60">
        <f t="shared" ref="AE33" si="5">AE30+AE31+AE32</f>
        <v>10</v>
      </c>
      <c r="AF33" s="60">
        <f t="shared" ref="AF33" si="6">AF30+AF31+AF32</f>
        <v>10</v>
      </c>
      <c r="AG33" s="60">
        <f t="shared" ref="AG33" si="7">AG30+AG31+AG32</f>
        <v>10</v>
      </c>
      <c r="AH33" s="60">
        <f t="shared" ref="AH33" si="8">AH30+AH31+AH32</f>
        <v>10</v>
      </c>
      <c r="AI33" s="60">
        <f t="shared" ref="AI33" si="9">AI30+AI31+AI32</f>
        <v>10</v>
      </c>
      <c r="AJ33" s="60">
        <f t="shared" ref="AJ33" si="10">AJ30+AJ31+AJ32</f>
        <v>10</v>
      </c>
      <c r="AK33" s="60">
        <f t="shared" ref="AK33" si="11">AK30+AK31+AK32</f>
        <v>10</v>
      </c>
      <c r="AL33" s="61">
        <f t="shared" ref="AL33" si="12">AL30+AL31+AL32</f>
        <v>10</v>
      </c>
    </row>
    <row r="34" spans="2:38" x14ac:dyDescent="0.2">
      <c r="B34" s="72" t="s">
        <v>10</v>
      </c>
      <c r="C34" s="65">
        <f>C29-C33</f>
        <v>-4</v>
      </c>
      <c r="D34" s="60">
        <f t="shared" ref="D34:Z34" si="13">D29-D33</f>
        <v>-6</v>
      </c>
      <c r="E34" s="60">
        <f t="shared" si="13"/>
        <v>-6</v>
      </c>
      <c r="F34" s="60">
        <f t="shared" si="13"/>
        <v>-14</v>
      </c>
      <c r="G34" s="60">
        <f t="shared" si="13"/>
        <v>2</v>
      </c>
      <c r="H34" s="60">
        <f t="shared" si="13"/>
        <v>2</v>
      </c>
      <c r="I34" s="60">
        <f t="shared" si="13"/>
        <v>2</v>
      </c>
      <c r="J34" s="60">
        <f t="shared" si="13"/>
        <v>2</v>
      </c>
      <c r="K34" s="60">
        <f t="shared" si="13"/>
        <v>2</v>
      </c>
      <c r="L34" s="60">
        <f t="shared" si="13"/>
        <v>2</v>
      </c>
      <c r="M34" s="60">
        <f t="shared" si="13"/>
        <v>2</v>
      </c>
      <c r="N34" s="60">
        <f t="shared" si="13"/>
        <v>2</v>
      </c>
      <c r="O34" s="65">
        <f t="shared" si="13"/>
        <v>2</v>
      </c>
      <c r="P34" s="60">
        <f t="shared" si="13"/>
        <v>2</v>
      </c>
      <c r="Q34" s="60">
        <f t="shared" si="13"/>
        <v>2</v>
      </c>
      <c r="R34" s="60">
        <f t="shared" si="13"/>
        <v>2</v>
      </c>
      <c r="S34" s="60">
        <f t="shared" si="13"/>
        <v>2</v>
      </c>
      <c r="T34" s="60">
        <f t="shared" si="13"/>
        <v>2</v>
      </c>
      <c r="U34" s="60">
        <f t="shared" si="13"/>
        <v>2</v>
      </c>
      <c r="V34" s="60">
        <f t="shared" si="13"/>
        <v>2</v>
      </c>
      <c r="W34" s="60">
        <f t="shared" si="13"/>
        <v>2</v>
      </c>
      <c r="X34" s="60">
        <f t="shared" si="13"/>
        <v>2</v>
      </c>
      <c r="Y34" s="60">
        <f t="shared" si="13"/>
        <v>2</v>
      </c>
      <c r="Z34" s="61">
        <f t="shared" si="13"/>
        <v>2</v>
      </c>
      <c r="AA34" s="65">
        <f t="shared" ref="AA34" si="14">AA29-AA33</f>
        <v>2</v>
      </c>
      <c r="AB34" s="60">
        <f t="shared" ref="AB34" si="15">AB29-AB33</f>
        <v>2</v>
      </c>
      <c r="AC34" s="60">
        <f t="shared" ref="AC34" si="16">AC29-AC33</f>
        <v>2</v>
      </c>
      <c r="AD34" s="60">
        <f t="shared" ref="AD34" si="17">AD29-AD33</f>
        <v>2</v>
      </c>
      <c r="AE34" s="60">
        <f t="shared" ref="AE34" si="18">AE29-AE33</f>
        <v>2</v>
      </c>
      <c r="AF34" s="60">
        <f t="shared" ref="AF34" si="19">AF29-AF33</f>
        <v>2</v>
      </c>
      <c r="AG34" s="60">
        <f t="shared" ref="AG34" si="20">AG29-AG33</f>
        <v>2</v>
      </c>
      <c r="AH34" s="60">
        <f t="shared" ref="AH34" si="21">AH29-AH33</f>
        <v>2</v>
      </c>
      <c r="AI34" s="60">
        <f t="shared" ref="AI34" si="22">AI29-AI33</f>
        <v>2</v>
      </c>
      <c r="AJ34" s="60">
        <f t="shared" ref="AJ34" si="23">AJ29-AJ33</f>
        <v>2</v>
      </c>
      <c r="AK34" s="60">
        <f t="shared" ref="AK34" si="24">AK29-AK33</f>
        <v>2</v>
      </c>
      <c r="AL34" s="61">
        <f t="shared" ref="AL34" si="25">AL29-AL33</f>
        <v>2</v>
      </c>
    </row>
    <row r="35" spans="2:38" x14ac:dyDescent="0.2">
      <c r="B35" s="73" t="s">
        <v>11</v>
      </c>
      <c r="C35" s="75">
        <v>-30</v>
      </c>
      <c r="D35" s="76">
        <v>0</v>
      </c>
      <c r="E35" s="76">
        <v>0</v>
      </c>
      <c r="F35" s="76">
        <v>0</v>
      </c>
      <c r="G35" s="76">
        <v>0</v>
      </c>
      <c r="H35" s="76">
        <v>0</v>
      </c>
      <c r="I35" s="76">
        <v>0</v>
      </c>
      <c r="J35" s="76">
        <v>0</v>
      </c>
      <c r="K35" s="76">
        <v>0</v>
      </c>
      <c r="L35" s="76">
        <v>0</v>
      </c>
      <c r="M35" s="76">
        <v>0</v>
      </c>
      <c r="N35" s="76">
        <v>0</v>
      </c>
      <c r="O35" s="75">
        <v>0</v>
      </c>
      <c r="P35" s="76">
        <v>0</v>
      </c>
      <c r="Q35" s="76">
        <v>0</v>
      </c>
      <c r="R35" s="76">
        <v>0</v>
      </c>
      <c r="S35" s="76">
        <v>0</v>
      </c>
      <c r="T35" s="76">
        <v>0</v>
      </c>
      <c r="U35" s="76">
        <v>0</v>
      </c>
      <c r="V35" s="76">
        <v>0</v>
      </c>
      <c r="W35" s="76">
        <v>0</v>
      </c>
      <c r="X35" s="76">
        <v>0</v>
      </c>
      <c r="Y35" s="76">
        <v>0</v>
      </c>
      <c r="Z35" s="77">
        <v>0</v>
      </c>
      <c r="AA35" s="75">
        <v>0</v>
      </c>
      <c r="AB35" s="76">
        <v>0</v>
      </c>
      <c r="AC35" s="76">
        <v>0</v>
      </c>
      <c r="AD35" s="76">
        <v>0</v>
      </c>
      <c r="AE35" s="76">
        <v>0</v>
      </c>
      <c r="AF35" s="76">
        <v>0</v>
      </c>
      <c r="AG35" s="76">
        <v>0</v>
      </c>
      <c r="AH35" s="76">
        <v>0</v>
      </c>
      <c r="AI35" s="76">
        <v>0</v>
      </c>
      <c r="AJ35" s="76">
        <v>0</v>
      </c>
      <c r="AK35" s="76">
        <v>0</v>
      </c>
      <c r="AL35" s="77">
        <v>0</v>
      </c>
    </row>
    <row r="36" spans="2:38" x14ac:dyDescent="0.2">
      <c r="B36" s="73" t="s">
        <v>42</v>
      </c>
      <c r="C36" s="66">
        <f>C34+C35</f>
        <v>-34</v>
      </c>
      <c r="D36" s="57">
        <f t="shared" ref="D36:N36" si="26">D34+D35</f>
        <v>-6</v>
      </c>
      <c r="E36" s="57">
        <f t="shared" si="26"/>
        <v>-6</v>
      </c>
      <c r="F36" s="57">
        <f t="shared" si="26"/>
        <v>-14</v>
      </c>
      <c r="G36" s="57">
        <f t="shared" si="26"/>
        <v>2</v>
      </c>
      <c r="H36" s="57">
        <f t="shared" si="26"/>
        <v>2</v>
      </c>
      <c r="I36" s="57">
        <f t="shared" si="26"/>
        <v>2</v>
      </c>
      <c r="J36" s="57">
        <f t="shared" si="26"/>
        <v>2</v>
      </c>
      <c r="K36" s="57">
        <f t="shared" si="26"/>
        <v>2</v>
      </c>
      <c r="L36" s="57">
        <f t="shared" si="26"/>
        <v>2</v>
      </c>
      <c r="M36" s="57">
        <f t="shared" si="26"/>
        <v>2</v>
      </c>
      <c r="N36" s="57">
        <f t="shared" si="26"/>
        <v>2</v>
      </c>
      <c r="O36" s="66">
        <f>O34+O35</f>
        <v>2</v>
      </c>
      <c r="P36" s="57">
        <f t="shared" ref="P36" si="27">P34+P35</f>
        <v>2</v>
      </c>
      <c r="Q36" s="57">
        <f t="shared" ref="Q36" si="28">Q34+Q35</f>
        <v>2</v>
      </c>
      <c r="R36" s="57">
        <f t="shared" ref="R36" si="29">R34+R35</f>
        <v>2</v>
      </c>
      <c r="S36" s="57">
        <f t="shared" ref="S36" si="30">S34+S35</f>
        <v>2</v>
      </c>
      <c r="T36" s="57">
        <f t="shared" ref="T36" si="31">T34+T35</f>
        <v>2</v>
      </c>
      <c r="U36" s="57">
        <f t="shared" ref="U36" si="32">U34+U35</f>
        <v>2</v>
      </c>
      <c r="V36" s="57">
        <f t="shared" ref="V36" si="33">V34+V35</f>
        <v>2</v>
      </c>
      <c r="W36" s="57">
        <f t="shared" ref="W36" si="34">W34+W35</f>
        <v>2</v>
      </c>
      <c r="X36" s="57">
        <f t="shared" ref="X36" si="35">X34+X35</f>
        <v>2</v>
      </c>
      <c r="Y36" s="57">
        <f t="shared" ref="Y36" si="36">Y34+Y35</f>
        <v>2</v>
      </c>
      <c r="Z36" s="62">
        <f t="shared" ref="Z36" si="37">Z34+Z35</f>
        <v>2</v>
      </c>
      <c r="AA36" s="66">
        <f>AA34+AA35</f>
        <v>2</v>
      </c>
      <c r="AB36" s="57">
        <f t="shared" ref="AB36" si="38">AB34+AB35</f>
        <v>2</v>
      </c>
      <c r="AC36" s="57">
        <f t="shared" ref="AC36" si="39">AC34+AC35</f>
        <v>2</v>
      </c>
      <c r="AD36" s="57">
        <f t="shared" ref="AD36" si="40">AD34+AD35</f>
        <v>2</v>
      </c>
      <c r="AE36" s="57">
        <f t="shared" ref="AE36" si="41">AE34+AE35</f>
        <v>2</v>
      </c>
      <c r="AF36" s="57">
        <f t="shared" ref="AF36" si="42">AF34+AF35</f>
        <v>2</v>
      </c>
      <c r="AG36" s="57">
        <f t="shared" ref="AG36" si="43">AG34+AG35</f>
        <v>2</v>
      </c>
      <c r="AH36" s="57">
        <f t="shared" ref="AH36" si="44">AH34+AH35</f>
        <v>2</v>
      </c>
      <c r="AI36" s="57">
        <f t="shared" ref="AI36" si="45">AI34+AI35</f>
        <v>2</v>
      </c>
      <c r="AJ36" s="57">
        <f t="shared" ref="AJ36" si="46">AJ34+AJ35</f>
        <v>2</v>
      </c>
      <c r="AK36" s="57">
        <f t="shared" ref="AK36" si="47">AK34+AK35</f>
        <v>2</v>
      </c>
      <c r="AL36" s="62">
        <f t="shared" ref="AL36" si="48">AL34+AL35</f>
        <v>2</v>
      </c>
    </row>
    <row r="37" spans="2:38" x14ac:dyDescent="0.2">
      <c r="B37" s="81" t="s">
        <v>43</v>
      </c>
      <c r="C37" s="65">
        <f>C38+C39</f>
        <v>-18</v>
      </c>
      <c r="D37" s="60">
        <f t="shared" ref="D37:Z37" si="49">D38+D39</f>
        <v>0</v>
      </c>
      <c r="E37" s="60">
        <f t="shared" si="49"/>
        <v>0</v>
      </c>
      <c r="F37" s="60">
        <f t="shared" si="49"/>
        <v>0</v>
      </c>
      <c r="G37" s="60">
        <f t="shared" si="49"/>
        <v>0</v>
      </c>
      <c r="H37" s="60">
        <f t="shared" si="49"/>
        <v>1</v>
      </c>
      <c r="I37" s="60">
        <f t="shared" si="49"/>
        <v>2</v>
      </c>
      <c r="J37" s="60">
        <f t="shared" si="49"/>
        <v>0</v>
      </c>
      <c r="K37" s="60">
        <f t="shared" si="49"/>
        <v>0</v>
      </c>
      <c r="L37" s="60">
        <f t="shared" si="49"/>
        <v>0</v>
      </c>
      <c r="M37" s="60">
        <f t="shared" si="49"/>
        <v>0</v>
      </c>
      <c r="N37" s="60">
        <f t="shared" si="49"/>
        <v>0.9</v>
      </c>
      <c r="O37" s="65">
        <f t="shared" si="49"/>
        <v>2</v>
      </c>
      <c r="P37" s="60">
        <f t="shared" si="49"/>
        <v>0</v>
      </c>
      <c r="Q37" s="60">
        <f t="shared" si="49"/>
        <v>0</v>
      </c>
      <c r="R37" s="60">
        <f t="shared" si="49"/>
        <v>0</v>
      </c>
      <c r="S37" s="60">
        <f t="shared" si="49"/>
        <v>0</v>
      </c>
      <c r="T37" s="60">
        <f t="shared" si="49"/>
        <v>0.8</v>
      </c>
      <c r="U37" s="60">
        <f t="shared" si="49"/>
        <v>2</v>
      </c>
      <c r="V37" s="60">
        <f t="shared" si="49"/>
        <v>0</v>
      </c>
      <c r="W37" s="60">
        <f t="shared" si="49"/>
        <v>0</v>
      </c>
      <c r="X37" s="60">
        <f t="shared" si="49"/>
        <v>0</v>
      </c>
      <c r="Y37" s="60">
        <f t="shared" si="49"/>
        <v>0</v>
      </c>
      <c r="Z37" s="61">
        <f t="shared" si="49"/>
        <v>0.7</v>
      </c>
      <c r="AA37" s="65">
        <f t="shared" ref="AA37" si="50">AA38+AA39</f>
        <v>2</v>
      </c>
      <c r="AB37" s="60">
        <f t="shared" ref="AB37" si="51">AB38+AB39</f>
        <v>0</v>
      </c>
      <c r="AC37" s="60">
        <f t="shared" ref="AC37" si="52">AC38+AC39</f>
        <v>0</v>
      </c>
      <c r="AD37" s="60">
        <f t="shared" ref="AD37" si="53">AD38+AD39</f>
        <v>0</v>
      </c>
      <c r="AE37" s="60">
        <f t="shared" ref="AE37" si="54">AE38+AE39</f>
        <v>0</v>
      </c>
      <c r="AF37" s="60">
        <f t="shared" ref="AF37" si="55">AF38+AF39</f>
        <v>0.6</v>
      </c>
      <c r="AG37" s="60">
        <f t="shared" ref="AG37" si="56">AG38+AG39</f>
        <v>2</v>
      </c>
      <c r="AH37" s="60">
        <f t="shared" ref="AH37" si="57">AH38+AH39</f>
        <v>0</v>
      </c>
      <c r="AI37" s="60">
        <f t="shared" ref="AI37" si="58">AI38+AI39</f>
        <v>0</v>
      </c>
      <c r="AJ37" s="60">
        <f t="shared" ref="AJ37" si="59">AJ38+AJ39</f>
        <v>0</v>
      </c>
      <c r="AK37" s="60">
        <f t="shared" ref="AK37" si="60">AK38+AK39</f>
        <v>0</v>
      </c>
      <c r="AL37" s="61">
        <f t="shared" ref="AL37" si="61">AL38+AL39</f>
        <v>0.5</v>
      </c>
    </row>
    <row r="38" spans="2:38" x14ac:dyDescent="0.2">
      <c r="B38" s="69" t="s">
        <v>44</v>
      </c>
      <c r="C38" s="65">
        <f>-20+2</f>
        <v>-18</v>
      </c>
      <c r="D38" s="60">
        <v>0</v>
      </c>
      <c r="E38" s="60">
        <v>0</v>
      </c>
      <c r="F38" s="60">
        <v>0</v>
      </c>
      <c r="G38" s="60">
        <v>0</v>
      </c>
      <c r="H38" s="60">
        <v>0</v>
      </c>
      <c r="I38" s="60">
        <v>2</v>
      </c>
      <c r="J38" s="60">
        <v>0</v>
      </c>
      <c r="K38" s="60">
        <v>0</v>
      </c>
      <c r="L38" s="60">
        <v>0</v>
      </c>
      <c r="M38" s="60">
        <v>0</v>
      </c>
      <c r="N38" s="60">
        <v>0</v>
      </c>
      <c r="O38" s="65">
        <v>2</v>
      </c>
      <c r="P38" s="60">
        <v>0</v>
      </c>
      <c r="Q38" s="60">
        <v>0</v>
      </c>
      <c r="R38" s="60">
        <v>0</v>
      </c>
      <c r="S38" s="60">
        <v>0</v>
      </c>
      <c r="T38" s="60">
        <v>0</v>
      </c>
      <c r="U38" s="60">
        <v>2</v>
      </c>
      <c r="V38" s="60">
        <v>0</v>
      </c>
      <c r="W38" s="60">
        <v>0</v>
      </c>
      <c r="X38" s="60">
        <v>0</v>
      </c>
      <c r="Y38" s="60">
        <v>0</v>
      </c>
      <c r="Z38" s="61">
        <v>0</v>
      </c>
      <c r="AA38" s="65">
        <v>2</v>
      </c>
      <c r="AB38" s="60">
        <v>0</v>
      </c>
      <c r="AC38" s="60">
        <v>0</v>
      </c>
      <c r="AD38" s="60">
        <v>0</v>
      </c>
      <c r="AE38" s="60">
        <v>0</v>
      </c>
      <c r="AF38" s="60">
        <v>0</v>
      </c>
      <c r="AG38" s="60">
        <v>2</v>
      </c>
      <c r="AH38" s="60">
        <v>0</v>
      </c>
      <c r="AI38" s="60">
        <v>0</v>
      </c>
      <c r="AJ38" s="60">
        <v>0</v>
      </c>
      <c r="AK38" s="60">
        <v>0</v>
      </c>
      <c r="AL38" s="61">
        <v>0</v>
      </c>
    </row>
    <row r="39" spans="2:38" x14ac:dyDescent="0.2">
      <c r="B39" s="74" t="s">
        <v>45</v>
      </c>
      <c r="C39" s="67">
        <v>0</v>
      </c>
      <c r="D39" s="64">
        <v>0</v>
      </c>
      <c r="E39" s="64">
        <v>0</v>
      </c>
      <c r="F39" s="64">
        <v>0</v>
      </c>
      <c r="G39" s="64">
        <v>0</v>
      </c>
      <c r="H39" s="64">
        <v>1</v>
      </c>
      <c r="I39" s="64">
        <v>0</v>
      </c>
      <c r="J39" s="64">
        <v>0</v>
      </c>
      <c r="K39" s="64">
        <v>0</v>
      </c>
      <c r="L39" s="64">
        <v>0</v>
      </c>
      <c r="M39" s="64">
        <v>0</v>
      </c>
      <c r="N39" s="64">
        <v>0.9</v>
      </c>
      <c r="O39" s="67">
        <v>0</v>
      </c>
      <c r="P39" s="64">
        <v>0</v>
      </c>
      <c r="Q39" s="64">
        <v>0</v>
      </c>
      <c r="R39" s="64">
        <v>0</v>
      </c>
      <c r="S39" s="64">
        <v>0</v>
      </c>
      <c r="T39" s="64">
        <v>0.8</v>
      </c>
      <c r="U39" s="64">
        <v>0</v>
      </c>
      <c r="V39" s="64">
        <v>0</v>
      </c>
      <c r="W39" s="64">
        <v>0</v>
      </c>
      <c r="X39" s="64">
        <v>0</v>
      </c>
      <c r="Y39" s="64">
        <v>0</v>
      </c>
      <c r="Z39" s="68">
        <v>0.7</v>
      </c>
      <c r="AA39" s="67">
        <v>0</v>
      </c>
      <c r="AB39" s="64">
        <v>0</v>
      </c>
      <c r="AC39" s="64">
        <v>0</v>
      </c>
      <c r="AD39" s="64">
        <v>0</v>
      </c>
      <c r="AE39" s="64">
        <v>0</v>
      </c>
      <c r="AF39" s="64">
        <v>0.6</v>
      </c>
      <c r="AG39" s="64">
        <v>0</v>
      </c>
      <c r="AH39" s="64">
        <v>0</v>
      </c>
      <c r="AI39" s="64">
        <v>0</v>
      </c>
      <c r="AJ39" s="64">
        <v>0</v>
      </c>
      <c r="AK39" s="64">
        <v>0</v>
      </c>
      <c r="AL39" s="68">
        <v>0.5</v>
      </c>
    </row>
    <row r="40" spans="2:38" x14ac:dyDescent="0.2">
      <c r="B40" s="63" t="s">
        <v>47</v>
      </c>
      <c r="C40" s="57">
        <f>C36-C37</f>
        <v>-16</v>
      </c>
      <c r="D40" s="57">
        <f t="shared" ref="D40:Z40" si="62">D36-D37</f>
        <v>-6</v>
      </c>
      <c r="E40" s="57">
        <f t="shared" si="62"/>
        <v>-6</v>
      </c>
      <c r="F40" s="57">
        <f t="shared" si="62"/>
        <v>-14</v>
      </c>
      <c r="G40" s="57">
        <f t="shared" si="62"/>
        <v>2</v>
      </c>
      <c r="H40" s="57">
        <f t="shared" si="62"/>
        <v>1</v>
      </c>
      <c r="I40" s="57">
        <f t="shared" si="62"/>
        <v>0</v>
      </c>
      <c r="J40" s="57">
        <f t="shared" si="62"/>
        <v>2</v>
      </c>
      <c r="K40" s="57">
        <f t="shared" si="62"/>
        <v>2</v>
      </c>
      <c r="L40" s="57">
        <f t="shared" si="62"/>
        <v>2</v>
      </c>
      <c r="M40" s="57">
        <f t="shared" si="62"/>
        <v>2</v>
      </c>
      <c r="N40" s="57">
        <f t="shared" si="62"/>
        <v>1.1000000000000001</v>
      </c>
      <c r="O40" s="66">
        <f t="shared" si="62"/>
        <v>0</v>
      </c>
      <c r="P40" s="57">
        <f t="shared" si="62"/>
        <v>2</v>
      </c>
      <c r="Q40" s="57">
        <f t="shared" si="62"/>
        <v>2</v>
      </c>
      <c r="R40" s="57">
        <f t="shared" si="62"/>
        <v>2</v>
      </c>
      <c r="S40" s="57">
        <f t="shared" si="62"/>
        <v>2</v>
      </c>
      <c r="T40" s="57">
        <f t="shared" si="62"/>
        <v>1.2</v>
      </c>
      <c r="U40" s="57">
        <f t="shared" si="62"/>
        <v>0</v>
      </c>
      <c r="V40" s="57">
        <f t="shared" si="62"/>
        <v>2</v>
      </c>
      <c r="W40" s="57">
        <f t="shared" si="62"/>
        <v>2</v>
      </c>
      <c r="X40" s="57">
        <f t="shared" si="62"/>
        <v>2</v>
      </c>
      <c r="Y40" s="57">
        <f t="shared" si="62"/>
        <v>2</v>
      </c>
      <c r="Z40" s="62">
        <f t="shared" si="62"/>
        <v>1.3</v>
      </c>
      <c r="AA40" s="66">
        <f t="shared" ref="AA40:AL40" si="63">AA36-AA37</f>
        <v>0</v>
      </c>
      <c r="AB40" s="57">
        <f t="shared" si="63"/>
        <v>2</v>
      </c>
      <c r="AC40" s="57">
        <f t="shared" si="63"/>
        <v>2</v>
      </c>
      <c r="AD40" s="57">
        <f t="shared" si="63"/>
        <v>2</v>
      </c>
      <c r="AE40" s="57">
        <f t="shared" si="63"/>
        <v>2</v>
      </c>
      <c r="AF40" s="57">
        <f t="shared" si="63"/>
        <v>1.4</v>
      </c>
      <c r="AG40" s="57">
        <f t="shared" si="63"/>
        <v>0</v>
      </c>
      <c r="AH40" s="57">
        <f t="shared" si="63"/>
        <v>2</v>
      </c>
      <c r="AI40" s="57">
        <f t="shared" si="63"/>
        <v>2</v>
      </c>
      <c r="AJ40" s="57">
        <f t="shared" si="63"/>
        <v>2</v>
      </c>
      <c r="AK40" s="57">
        <f t="shared" si="63"/>
        <v>2</v>
      </c>
      <c r="AL40" s="62">
        <f t="shared" si="63"/>
        <v>1.5</v>
      </c>
    </row>
    <row r="45" spans="2:38" x14ac:dyDescent="0.2">
      <c r="B45" s="14"/>
      <c r="C45" s="13" t="s">
        <v>20</v>
      </c>
      <c r="D45" s="13" t="s">
        <v>23</v>
      </c>
      <c r="E45" s="13" t="s">
        <v>24</v>
      </c>
      <c r="F45" s="82" t="s">
        <v>1</v>
      </c>
      <c r="I45" s="83" t="s">
        <v>48</v>
      </c>
      <c r="J45" s="84"/>
      <c r="K45" s="84"/>
      <c r="L45" s="84"/>
      <c r="M45" s="84"/>
      <c r="N45" s="84"/>
      <c r="O45" s="85"/>
    </row>
    <row r="46" spans="2:38" x14ac:dyDescent="0.2">
      <c r="B46" s="70" t="s">
        <v>38</v>
      </c>
      <c r="C46" s="58">
        <f>SUM(C29:N29)</f>
        <v>96</v>
      </c>
      <c r="D46" s="58">
        <f>SUM(O29:Z29)</f>
        <v>144</v>
      </c>
      <c r="E46" s="58">
        <f>SUM(AA29:AL29)</f>
        <v>144</v>
      </c>
      <c r="F46" s="59">
        <f>SUM(C46:E46)</f>
        <v>384</v>
      </c>
      <c r="I46" s="86"/>
      <c r="J46" s="87"/>
      <c r="K46" s="87"/>
      <c r="L46" s="87"/>
      <c r="M46" s="87"/>
      <c r="N46" s="87"/>
      <c r="O46" s="88"/>
    </row>
    <row r="47" spans="2:38" x14ac:dyDescent="0.2">
      <c r="B47" s="19" t="s">
        <v>39</v>
      </c>
      <c r="C47" s="59">
        <f>SUM(C30:N30)</f>
        <v>40</v>
      </c>
      <c r="D47" s="59">
        <f>SUM(O30:Z30)</f>
        <v>48</v>
      </c>
      <c r="E47" s="59">
        <f>SUM(AA30:AL30)</f>
        <v>48</v>
      </c>
      <c r="F47" s="59">
        <f t="shared" ref="F47:F57" si="64">SUM(C47:E47)</f>
        <v>136</v>
      </c>
    </row>
    <row r="48" spans="2:38" x14ac:dyDescent="0.2">
      <c r="B48" s="19" t="s">
        <v>40</v>
      </c>
      <c r="C48" s="59">
        <f>SUM(C31:N31)</f>
        <v>48</v>
      </c>
      <c r="D48" s="59">
        <f>SUM(O31:Z31)</f>
        <v>48</v>
      </c>
      <c r="E48" s="59">
        <f>SUM(AA31:AL31)</f>
        <v>48</v>
      </c>
      <c r="F48" s="59">
        <f t="shared" si="64"/>
        <v>144</v>
      </c>
    </row>
    <row r="49" spans="2:6" x14ac:dyDescent="0.2">
      <c r="B49" s="19" t="s">
        <v>41</v>
      </c>
      <c r="C49" s="59">
        <f>SUM(C32:N32)</f>
        <v>22</v>
      </c>
      <c r="D49" s="59">
        <f>SUM(O32:Z32)</f>
        <v>24</v>
      </c>
      <c r="E49" s="59">
        <f>SUM(AA32:AL32)</f>
        <v>24</v>
      </c>
      <c r="F49" s="59">
        <f t="shared" si="64"/>
        <v>70</v>
      </c>
    </row>
    <row r="50" spans="2:6" x14ac:dyDescent="0.2">
      <c r="B50" s="71" t="s">
        <v>9</v>
      </c>
      <c r="C50" s="59">
        <f>SUM(C33:N33)</f>
        <v>110</v>
      </c>
      <c r="D50" s="59">
        <f>SUM(O33:Z33)</f>
        <v>120</v>
      </c>
      <c r="E50" s="59">
        <f>SUM(AA33:AL33)</f>
        <v>120</v>
      </c>
      <c r="F50" s="59">
        <f t="shared" si="64"/>
        <v>350</v>
      </c>
    </row>
    <row r="51" spans="2:6" x14ac:dyDescent="0.2">
      <c r="B51" s="72" t="s">
        <v>10</v>
      </c>
      <c r="C51" s="59">
        <f>SUM(C34:N34)</f>
        <v>-14</v>
      </c>
      <c r="D51" s="59">
        <f>SUM(O34:Z34)</f>
        <v>24</v>
      </c>
      <c r="E51" s="59">
        <f>SUM(AA34:AL34)</f>
        <v>24</v>
      </c>
      <c r="F51" s="59">
        <f t="shared" si="64"/>
        <v>34</v>
      </c>
    </row>
    <row r="52" spans="2:6" x14ac:dyDescent="0.2">
      <c r="B52" s="73" t="s">
        <v>11</v>
      </c>
      <c r="C52" s="59">
        <f>SUM(C35:N35)</f>
        <v>-30</v>
      </c>
      <c r="D52" s="59">
        <f>SUM(O35:Z35)</f>
        <v>0</v>
      </c>
      <c r="E52" s="59">
        <f>SUM(AA35:AL35)</f>
        <v>0</v>
      </c>
      <c r="F52" s="59">
        <f t="shared" si="64"/>
        <v>-30</v>
      </c>
    </row>
    <row r="53" spans="2:6" x14ac:dyDescent="0.2">
      <c r="B53" s="73" t="s">
        <v>42</v>
      </c>
      <c r="C53" s="59">
        <f>SUM(C36:N36)</f>
        <v>-44</v>
      </c>
      <c r="D53" s="59">
        <f>SUM(O36:Z36)</f>
        <v>24</v>
      </c>
      <c r="E53" s="59">
        <f>SUM(AA36:AL36)</f>
        <v>24</v>
      </c>
      <c r="F53" s="59">
        <f t="shared" si="64"/>
        <v>4</v>
      </c>
    </row>
    <row r="54" spans="2:6" x14ac:dyDescent="0.2">
      <c r="B54" s="81" t="s">
        <v>43</v>
      </c>
      <c r="C54" s="59">
        <f>SUM(C37:N37)</f>
        <v>-14.1</v>
      </c>
      <c r="D54" s="59">
        <f>SUM(O37:Z37)</f>
        <v>5.5</v>
      </c>
      <c r="E54" s="59">
        <f>SUM(AA37:AL37)</f>
        <v>5.0999999999999996</v>
      </c>
      <c r="F54" s="59">
        <f t="shared" si="64"/>
        <v>-3.5</v>
      </c>
    </row>
    <row r="55" spans="2:6" x14ac:dyDescent="0.2">
      <c r="B55" s="69" t="s">
        <v>44</v>
      </c>
      <c r="C55" s="59">
        <f>SUM(C38:N38)</f>
        <v>-16</v>
      </c>
      <c r="D55" s="59">
        <f>SUM(O38:Z38)</f>
        <v>4</v>
      </c>
      <c r="E55" s="59">
        <f>SUM(AA38:AL38)</f>
        <v>4</v>
      </c>
      <c r="F55" s="59">
        <f t="shared" si="64"/>
        <v>-8</v>
      </c>
    </row>
    <row r="56" spans="2:6" x14ac:dyDescent="0.2">
      <c r="B56" s="74" t="s">
        <v>45</v>
      </c>
      <c r="C56" s="59">
        <f>SUM(C39:N39)</f>
        <v>1.9</v>
      </c>
      <c r="D56" s="59">
        <f>SUM(O39:Z39)</f>
        <v>1.5</v>
      </c>
      <c r="E56" s="59">
        <f>SUM(AA39:AL39)</f>
        <v>1.1000000000000001</v>
      </c>
      <c r="F56" s="59">
        <f t="shared" si="64"/>
        <v>4.5</v>
      </c>
    </row>
    <row r="57" spans="2:6" x14ac:dyDescent="0.2">
      <c r="B57" s="73" t="s">
        <v>47</v>
      </c>
      <c r="C57" s="15">
        <f>SUM(C40:N40)</f>
        <v>-29.9</v>
      </c>
      <c r="D57" s="15">
        <f>SUM(O40:Z40)</f>
        <v>18.5</v>
      </c>
      <c r="E57" s="15">
        <f>SUM(AA40:AL40)</f>
        <v>18.899999999999999</v>
      </c>
      <c r="F57" s="15">
        <f t="shared" si="64"/>
        <v>7.5</v>
      </c>
    </row>
  </sheetData>
  <mergeCells count="11">
    <mergeCell ref="B13:O24"/>
    <mergeCell ref="C27:N27"/>
    <mergeCell ref="O27:Z27"/>
    <mergeCell ref="AA27:AL27"/>
    <mergeCell ref="I45:O46"/>
    <mergeCell ref="B2:O6"/>
    <mergeCell ref="B9:C9"/>
    <mergeCell ref="D9:E9"/>
    <mergeCell ref="F9:G9"/>
    <mergeCell ref="H9:I9"/>
    <mergeCell ref="J9:K9"/>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Exercice 1</vt:lpstr>
      <vt:lpstr>Exercice 2</vt:lpstr>
      <vt:lpstr>Flux_de_Tresorerie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Yannis MOUTON</dc:creator>
  <cp:lastModifiedBy>Yannis MOUTON</cp:lastModifiedBy>
  <dcterms:created xsi:type="dcterms:W3CDTF">2026-04-08T14:01:40Z</dcterms:created>
  <dcterms:modified xsi:type="dcterms:W3CDTF">2026-04-09T10:26:59Z</dcterms:modified>
</cp:coreProperties>
</file>