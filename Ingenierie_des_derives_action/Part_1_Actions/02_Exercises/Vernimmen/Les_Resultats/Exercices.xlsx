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202300"/>
  <mc:AlternateContent xmlns:mc="http://schemas.openxmlformats.org/markup-compatibility/2006">
    <mc:Choice Requires="x15">
      <x15ac:absPath xmlns:x15ac="http://schemas.microsoft.com/office/spreadsheetml/2010/11/ac" url="/Users/yannismouton/Documents/Development/Lab_de_Recherche_sur_les_Marches_Financiers/Ingenierie_des_derives_action/Part_1_Actions/02_Exercises/Vernimmen/Les_Resultats/"/>
    </mc:Choice>
  </mc:AlternateContent>
  <xr:revisionPtr revIDLastSave="0" documentId="13_ncr:1_{9BE7F089-439F-D046-8216-890AC8793A52}" xr6:coauthVersionLast="47" xr6:coauthVersionMax="47" xr10:uidLastSave="{00000000-0000-0000-0000-000000000000}"/>
  <bookViews>
    <workbookView xWindow="0" yWindow="660" windowWidth="34560" windowHeight="21680" xr2:uid="{11998206-23DB-C04B-9EF5-260573FB7102}"/>
  </bookViews>
  <sheets>
    <sheet name="Fever Tech"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7" i="1" l="1"/>
  <c r="E37" i="1"/>
  <c r="E39" i="1"/>
  <c r="E36" i="1"/>
  <c r="E35" i="1"/>
  <c r="C65" i="1"/>
  <c r="C69" i="1" s="1"/>
  <c r="E38" i="1" s="1"/>
  <c r="C62" i="1"/>
  <c r="C60" i="1"/>
  <c r="H55" i="1"/>
  <c r="J55" i="1" s="1"/>
  <c r="K55" i="1" s="1"/>
  <c r="G55" i="1"/>
  <c r="I55" i="1" s="1"/>
  <c r="E55" i="1"/>
  <c r="I54" i="1"/>
  <c r="H54" i="1"/>
  <c r="J54" i="1" s="1"/>
  <c r="K54" i="1" s="1"/>
  <c r="G54" i="1"/>
  <c r="E54" i="1"/>
  <c r="H53" i="1"/>
  <c r="J53" i="1" s="1"/>
  <c r="K53" i="1" s="1"/>
  <c r="G53" i="1"/>
  <c r="I53" i="1" s="1"/>
  <c r="E53" i="1"/>
  <c r="H52" i="1"/>
  <c r="J52" i="1" s="1"/>
  <c r="K52" i="1" s="1"/>
  <c r="G52" i="1"/>
  <c r="I52" i="1" s="1"/>
  <c r="E52" i="1"/>
  <c r="H51" i="1"/>
  <c r="J51" i="1" s="1"/>
  <c r="K51" i="1" s="1"/>
  <c r="G51" i="1"/>
  <c r="I51" i="1" s="1"/>
  <c r="E51" i="1"/>
  <c r="H50" i="1"/>
  <c r="J50" i="1" s="1"/>
  <c r="K50" i="1" s="1"/>
  <c r="G50" i="1"/>
  <c r="I50" i="1" s="1"/>
  <c r="E50" i="1"/>
  <c r="J49" i="1"/>
  <c r="K49" i="1" s="1"/>
  <c r="H49" i="1"/>
  <c r="G49" i="1"/>
  <c r="I49" i="1" s="1"/>
  <c r="E49" i="1"/>
  <c r="H48" i="1"/>
  <c r="J48" i="1" s="1"/>
  <c r="K48" i="1" s="1"/>
  <c r="G48" i="1"/>
  <c r="I48" i="1" s="1"/>
  <c r="E48" i="1"/>
  <c r="G47" i="1"/>
  <c r="I47" i="1" s="1"/>
  <c r="C27" i="1" s="1"/>
  <c r="E47" i="1"/>
  <c r="J46" i="1"/>
  <c r="K46" i="1" s="1"/>
  <c r="C19" i="1" s="1"/>
  <c r="H46" i="1"/>
  <c r="C21" i="1" s="1"/>
  <c r="C20" i="1" s="1"/>
  <c r="C46" i="1"/>
  <c r="G46" i="1" s="1"/>
  <c r="C31" i="1"/>
  <c r="C30" i="1"/>
  <c r="H27" i="1"/>
  <c r="H26" i="1"/>
  <c r="C25" i="1"/>
  <c r="H25" i="1" s="1"/>
  <c r="H24" i="1" s="1"/>
  <c r="C22" i="1"/>
  <c r="H19" i="1"/>
  <c r="E34" i="1" s="1"/>
  <c r="E40" i="1" l="1"/>
  <c r="E42" i="1" s="1"/>
  <c r="K47" i="1"/>
  <c r="C26" i="1" s="1"/>
  <c r="C24" i="1" s="1"/>
  <c r="C23" i="1"/>
  <c r="C29" i="1" s="1"/>
  <c r="E46" i="1"/>
  <c r="I46" i="1" s="1"/>
</calcChain>
</file>

<file path=xl/sharedStrings.xml><?xml version="1.0" encoding="utf-8"?>
<sst xmlns="http://schemas.openxmlformats.org/spreadsheetml/2006/main" count="75" uniqueCount="68">
  <si>
    <r>
      <rPr>
        <b/>
        <sz val="12"/>
        <color theme="1"/>
        <rFont val="Aptos Narrow"/>
        <scheme val="minor"/>
      </rPr>
      <t>Fever Tech</t>
    </r>
    <r>
      <rPr>
        <sz val="12"/>
        <color theme="1"/>
        <rFont val="Aptos Narrow"/>
        <family val="2"/>
        <scheme val="minor"/>
      </rPr>
      <t xml:space="preserve">
Un assembleur informatique vous demande de construire son compte de résultat par nature et par fonction pour l’année en cours. Vous disposez des informations suivantes : prix de vente d’un ordinateur : 1 500 € ; coût de chaque composant entrant dans la fabrication d’un ordinateur :
Lors de l’exercice, il a rémunéré ses employés pour 60 000 € et versé 50 % de cotisations sociales. L’entreprise a produit 240 machines. Son stock final de produits finis est de 27 unités, son stock initial de 14 unités. En fin d’exercice, le dirigeant de cette affaire vend les locaux qu’il avait achetés 200 000 € il y a trois ans, et qu’il amortissait sur 40 ans, pour une valeur de 230 000 €. La société occupe d’anciens locaux totalement amortis et rembourse un emprunt de 12 000 € à 5 % d’intérêt. 
Quel est l’impact de ces opérations sur l’EBE, le résultat d’exploitation et le résultat net ? Le taux d’impôt est de 35 %. Au cours de cet exercice, de combien s’est enrichie/appauvrie l’entreprise ? Les créanciers ? Notre chef d’entreprise qui est par ailleurs actionnaire à 50 % ?</t>
    </r>
  </si>
  <si>
    <t>Processeur</t>
  </si>
  <si>
    <t>Production vendue</t>
  </si>
  <si>
    <t>Résultat d'exploitation</t>
  </si>
  <si>
    <t>Charges financières nettes des produits financiers</t>
  </si>
  <si>
    <t>Impôt sur les sociétés</t>
  </si>
  <si>
    <t>1/ Fever Tech.</t>
  </si>
  <si>
    <t xml:space="preserve"> </t>
  </si>
  <si>
    <t>Présentation par nature</t>
  </si>
  <si>
    <t>presentation par destination</t>
  </si>
  <si>
    <t>Chiffre d'affaires</t>
  </si>
  <si>
    <t>Production stockée</t>
  </si>
  <si>
    <t>Valeur matière de la production</t>
  </si>
  <si>
    <t>Coûts de main d'œuvre associés</t>
  </si>
  <si>
    <t>Production</t>
  </si>
  <si>
    <t>Charges d'exploitation consommées</t>
  </si>
  <si>
    <t>Cout des ventes</t>
  </si>
  <si>
    <t>Frais de personnel</t>
  </si>
  <si>
    <t>Salaires</t>
  </si>
  <si>
    <t>Consommation composants</t>
  </si>
  <si>
    <t>Matieres premieres</t>
  </si>
  <si>
    <t>Variation de stock composants</t>
  </si>
  <si>
    <t>Amortissement locaux</t>
  </si>
  <si>
    <t>Exédent Brut d'Exploitation (EBE)</t>
  </si>
  <si>
    <t>Dotations aux amortissements</t>
  </si>
  <si>
    <t>Variation des provisions sur actifs immobilisés</t>
  </si>
  <si>
    <t>Intérêt emprunt</t>
  </si>
  <si>
    <t>Resultat courant</t>
  </si>
  <si>
    <t>Resultat exceptionnel</t>
  </si>
  <si>
    <t>Plus value vente locaux</t>
  </si>
  <si>
    <t>Resultat net</t>
  </si>
  <si>
    <t>Dividendes</t>
  </si>
  <si>
    <t>Résultat mis en réserve</t>
  </si>
  <si>
    <t>Stock</t>
  </si>
  <si>
    <t>Valeur unitaire</t>
  </si>
  <si>
    <t>Qté initiale</t>
  </si>
  <si>
    <t>Valeur initiale</t>
  </si>
  <si>
    <t>Qté finale</t>
  </si>
  <si>
    <t>Valeur finale</t>
  </si>
  <si>
    <t>Variation</t>
  </si>
  <si>
    <t>Vendue</t>
  </si>
  <si>
    <t>Produits finis</t>
  </si>
  <si>
    <t>Composants</t>
  </si>
  <si>
    <t>Achat</t>
  </si>
  <si>
    <t>Boitier</t>
  </si>
  <si>
    <t>Carte mère</t>
  </si>
  <si>
    <t>Mémoire vive</t>
  </si>
  <si>
    <t>Carte graphique</t>
  </si>
  <si>
    <t>Disque dur</t>
  </si>
  <si>
    <t>Ecran</t>
  </si>
  <si>
    <t>Ports USB</t>
  </si>
  <si>
    <t>Nbre PC produits</t>
  </si>
  <si>
    <t>Prix de vente</t>
  </si>
  <si>
    <t>Coût de main d'œuvre sur l'exercice</t>
  </si>
  <si>
    <t>Charges sociales</t>
  </si>
  <si>
    <t>Achat local</t>
  </si>
  <si>
    <t>Valeur amortie</t>
  </si>
  <si>
    <t>Vente local</t>
  </si>
  <si>
    <t>Durée amort</t>
  </si>
  <si>
    <t>Durée amortie</t>
  </si>
  <si>
    <t>Plus value</t>
  </si>
  <si>
    <t>Nombre de mois</t>
  </si>
  <si>
    <t>Emprunt</t>
  </si>
  <si>
    <t>Taux annuel</t>
  </si>
  <si>
    <t>Nbre de mois de l'année avant remboursement</t>
  </si>
  <si>
    <t>Taux d'imposition sur les sociétés</t>
  </si>
  <si>
    <t xml:space="preserve">Chef d'entreprise enrichissement : </t>
  </si>
  <si>
    <t>L'entreprise s'est enrichie après impô de 29299€, les créanciers de 600€ avec les intérêts et le chef d'entreprise de : 14649.3775€ s'il décide de se verser des fonds.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</si>
</sst>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 _F"/>
    <numFmt numFmtId="165" formatCode="#,##0\ _F"/>
    <numFmt numFmtId="167" formatCode="_-* #,##0\ _F_-;\-* #,##0\ _F_-;_-* &quot;-&quot;??\ _F_-;_-@_-"/>
  </numFmts>
  <fonts count="20" x14ac:knownFonts="1">
    <font>
      <sz val="12"/>
      <color theme="1"/>
      <name val="Aptos Narrow"/>
      <family val="2"/>
      <scheme val="minor"/>
    </font>
    <font>
      <sz val="12"/>
      <color theme="1"/>
      <name val="Aptos Narrow"/>
      <family val="2"/>
      <scheme val="minor"/>
    </font>
    <font>
      <b/>
      <sz val="12"/>
      <color theme="1"/>
      <name val="Aptos Narrow"/>
      <scheme val="minor"/>
    </font>
    <font>
      <sz val="12"/>
      <color theme="1"/>
      <name val="Aptos Narrow"/>
      <scheme val="minor"/>
    </font>
    <font>
      <sz val="12"/>
      <color theme="3" tint="0.499984740745262"/>
      <name val="Aptos Narrow"/>
      <family val="2"/>
      <scheme val="minor"/>
    </font>
    <font>
      <b/>
      <sz val="11"/>
      <name val="Verdana"/>
      <family val="2"/>
    </font>
    <font>
      <sz val="10"/>
      <name val="Aptos Narrow"/>
      <family val="2"/>
      <scheme val="minor"/>
    </font>
    <font>
      <sz val="10"/>
      <name val="Arial"/>
      <family val="2"/>
    </font>
    <font>
      <b/>
      <sz val="11"/>
      <color indexed="8"/>
      <name val="Arial"/>
      <family val="2"/>
    </font>
    <font>
      <b/>
      <i/>
      <sz val="10"/>
      <name val="Arial"/>
      <family val="2"/>
    </font>
    <font>
      <sz val="10"/>
      <color theme="3" tint="0.499984740745262"/>
      <name val="Arial"/>
      <family val="2"/>
    </font>
    <font>
      <b/>
      <sz val="10"/>
      <name val="Arial"/>
      <family val="2"/>
    </font>
    <font>
      <b/>
      <sz val="10"/>
      <color theme="3" tint="0.499984740745262"/>
      <name val="Arial"/>
      <family val="2"/>
    </font>
    <font>
      <sz val="8"/>
      <color indexed="55"/>
      <name val="Arial"/>
      <family val="2"/>
    </font>
    <font>
      <sz val="8"/>
      <color theme="3" tint="0.499984740745262"/>
      <name val="Arial"/>
      <family val="2"/>
    </font>
    <font>
      <b/>
      <sz val="8"/>
      <color indexed="12"/>
      <name val="Arial"/>
      <family val="2"/>
    </font>
    <font>
      <sz val="12"/>
      <color theme="1"/>
      <name val="Arial"/>
      <family val="2"/>
    </font>
    <font>
      <sz val="8"/>
      <name val="Arial"/>
      <family val="2"/>
    </font>
    <font>
      <sz val="10"/>
      <color theme="1"/>
      <name val="Arial"/>
      <family val="2"/>
    </font>
    <font>
      <sz val="8"/>
      <color theme="1"/>
      <name val="Arial"/>
      <family val="2"/>
    </font>
  </fonts>
  <fills count="3">
    <fill>
      <patternFill patternType="none"/>
    </fill>
    <fill>
      <patternFill patternType="gray125"/>
    </fill>
    <fill>
      <patternFill patternType="solid">
        <fgColor theme="4" tint="0.59999389629810485"/>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alignment vertical="top"/>
    </xf>
  </cellStyleXfs>
  <cellXfs count="52">
    <xf numFmtId="0" fontId="0" fillId="0" borderId="0" xfId="0"/>
    <xf numFmtId="0" fontId="0" fillId="0" borderId="0" xfId="0"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Border="1" applyAlignment="1">
      <alignment horizontal="center" vertical="center" wrapText="1"/>
    </xf>
    <xf numFmtId="0" fontId="3" fillId="0" borderId="5" xfId="0" applyFont="1" applyBorder="1" applyAlignment="1">
      <alignment horizontal="center" vertical="center" wrapText="1"/>
    </xf>
    <xf numFmtId="0" fontId="3" fillId="0" borderId="0" xfId="0" applyFont="1" applyBorder="1" applyAlignment="1">
      <alignment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4" fillId="0" borderId="0" xfId="0" applyFont="1"/>
    <xf numFmtId="0" fontId="6" fillId="0" borderId="0" xfId="0" applyFont="1" applyAlignment="1">
      <alignment vertical="top"/>
    </xf>
    <xf numFmtId="164" fontId="6" fillId="0" borderId="0" xfId="0" applyNumberFormat="1" applyFont="1" applyAlignment="1">
      <alignment vertical="top"/>
    </xf>
    <xf numFmtId="0" fontId="8" fillId="0" borderId="0" xfId="3" applyFont="1">
      <alignment vertical="top"/>
    </xf>
    <xf numFmtId="164" fontId="7" fillId="0" borderId="0" xfId="0" applyNumberFormat="1" applyFont="1" applyAlignment="1">
      <alignment vertical="top" wrapText="1"/>
    </xf>
    <xf numFmtId="0" fontId="7" fillId="0" borderId="0" xfId="0" applyFont="1" applyAlignment="1">
      <alignment vertical="top" wrapText="1"/>
    </xf>
    <xf numFmtId="0" fontId="7" fillId="0" borderId="0" xfId="0" applyFont="1" applyAlignment="1">
      <alignment vertical="top"/>
    </xf>
    <xf numFmtId="0" fontId="9" fillId="0" borderId="0" xfId="0" applyFont="1" applyAlignment="1">
      <alignment vertical="top"/>
    </xf>
    <xf numFmtId="164" fontId="7" fillId="0" borderId="0" xfId="0" applyNumberFormat="1" applyFont="1" applyAlignment="1">
      <alignment vertical="top"/>
    </xf>
    <xf numFmtId="165" fontId="10" fillId="0" borderId="0" xfId="0" applyNumberFormat="1" applyFont="1" applyAlignment="1">
      <alignment vertical="top"/>
    </xf>
    <xf numFmtId="0" fontId="11" fillId="0" borderId="0" xfId="0" applyFont="1" applyAlignment="1">
      <alignment vertical="top"/>
    </xf>
    <xf numFmtId="167" fontId="12" fillId="0" borderId="0" xfId="1" applyNumberFormat="1" applyFont="1" applyAlignment="1">
      <alignment vertical="top"/>
    </xf>
    <xf numFmtId="167" fontId="10" fillId="0" borderId="0" xfId="0" applyNumberFormat="1" applyFont="1" applyAlignment="1">
      <alignment vertical="top"/>
    </xf>
    <xf numFmtId="0" fontId="13" fillId="0" borderId="0" xfId="0" applyFont="1" applyAlignment="1">
      <alignment horizontal="left" vertical="top" indent="1"/>
    </xf>
    <xf numFmtId="165" fontId="14" fillId="0" borderId="0" xfId="0" applyNumberFormat="1" applyFont="1" applyAlignment="1">
      <alignment vertical="top"/>
    </xf>
    <xf numFmtId="164" fontId="13" fillId="0" borderId="0" xfId="0" applyNumberFormat="1" applyFont="1" applyAlignment="1">
      <alignment vertical="top"/>
    </xf>
    <xf numFmtId="0" fontId="13" fillId="0" borderId="0" xfId="0" applyFont="1" applyAlignment="1">
      <alignment vertical="top"/>
    </xf>
    <xf numFmtId="167" fontId="14" fillId="0" borderId="0" xfId="0" applyNumberFormat="1" applyFont="1" applyAlignment="1">
      <alignment vertical="top"/>
    </xf>
    <xf numFmtId="164" fontId="15" fillId="0" borderId="0" xfId="0" applyNumberFormat="1" applyFont="1" applyAlignment="1">
      <alignment vertical="top"/>
    </xf>
    <xf numFmtId="165" fontId="12" fillId="0" borderId="0" xfId="0" applyNumberFormat="1" applyFont="1" applyAlignment="1">
      <alignment vertical="top"/>
    </xf>
    <xf numFmtId="167" fontId="10" fillId="0" borderId="0" xfId="1" applyNumberFormat="1" applyFont="1" applyAlignment="1">
      <alignment vertical="top"/>
    </xf>
    <xf numFmtId="167" fontId="14" fillId="0" borderId="0" xfId="1" applyNumberFormat="1" applyFont="1" applyAlignment="1">
      <alignment vertical="top"/>
    </xf>
    <xf numFmtId="167" fontId="13" fillId="0" borderId="0" xfId="0" applyNumberFormat="1" applyFont="1" applyAlignment="1">
      <alignment vertical="top"/>
    </xf>
    <xf numFmtId="167" fontId="7" fillId="0" borderId="0" xfId="0" applyNumberFormat="1" applyFont="1" applyAlignment="1">
      <alignment vertical="top"/>
    </xf>
    <xf numFmtId="165" fontId="11" fillId="0" borderId="0" xfId="0" applyNumberFormat="1" applyFont="1" applyAlignment="1">
      <alignment vertical="top"/>
    </xf>
    <xf numFmtId="0" fontId="16" fillId="0" borderId="0" xfId="0" applyFont="1"/>
    <xf numFmtId="165" fontId="7" fillId="0" borderId="0" xfId="0" applyNumberFormat="1" applyFont="1" applyAlignment="1">
      <alignment vertical="top"/>
    </xf>
    <xf numFmtId="0" fontId="11" fillId="2" borderId="0" xfId="0" applyFont="1" applyFill="1" applyAlignment="1">
      <alignment vertical="top"/>
    </xf>
    <xf numFmtId="164" fontId="11" fillId="2" borderId="0" xfId="0" applyNumberFormat="1" applyFont="1" applyFill="1" applyAlignment="1">
      <alignment vertical="top"/>
    </xf>
    <xf numFmtId="0" fontId="17" fillId="0" borderId="0" xfId="0" applyFont="1" applyAlignment="1">
      <alignment horizontal="left" vertical="top" indent="1"/>
    </xf>
    <xf numFmtId="165" fontId="17" fillId="0" borderId="0" xfId="0" applyNumberFormat="1" applyFont="1" applyAlignment="1">
      <alignment vertical="top"/>
    </xf>
    <xf numFmtId="0" fontId="17" fillId="0" borderId="0" xfId="0" applyFont="1" applyAlignment="1">
      <alignment vertical="top"/>
    </xf>
    <xf numFmtId="167" fontId="12" fillId="0" borderId="0" xfId="1" applyNumberFormat="1" applyFont="1" applyAlignment="1">
      <alignment horizontal="right" vertical="top"/>
    </xf>
    <xf numFmtId="0" fontId="10" fillId="0" borderId="0" xfId="0" applyFont="1" applyAlignment="1">
      <alignment vertical="top"/>
    </xf>
    <xf numFmtId="164" fontId="14" fillId="0" borderId="0" xfId="0" applyNumberFormat="1" applyFont="1" applyAlignment="1">
      <alignment vertical="top"/>
    </xf>
    <xf numFmtId="0" fontId="14" fillId="0" borderId="0" xfId="0" applyFont="1" applyAlignment="1">
      <alignment vertical="top"/>
    </xf>
    <xf numFmtId="164" fontId="10" fillId="0" borderId="0" xfId="0" applyNumberFormat="1" applyFont="1" applyAlignment="1">
      <alignment vertical="top"/>
    </xf>
    <xf numFmtId="165" fontId="18" fillId="0" borderId="0" xfId="0" applyNumberFormat="1" applyFont="1" applyAlignment="1">
      <alignment vertical="top"/>
    </xf>
    <xf numFmtId="165" fontId="19" fillId="0" borderId="0" xfId="0" applyNumberFormat="1" applyFont="1" applyAlignment="1">
      <alignment vertical="top"/>
    </xf>
    <xf numFmtId="9" fontId="18" fillId="0" borderId="0" xfId="2" applyFont="1" applyAlignment="1">
      <alignment vertical="top"/>
    </xf>
  </cellXfs>
  <cellStyles count="4">
    <cellStyle name="Comma" xfId="1" builtinId="3"/>
    <cellStyle name="Normal" xfId="0" builtinId="0"/>
    <cellStyle name="Percent" xfId="2" builtinId="5"/>
    <cellStyle name="Titre 1" xfId="3" xr:uid="{D6D17DDA-8713-374E-8F2F-ECCDA17753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AA9FD-5D45-6345-9DD4-FE92BBF77BA2}">
  <dimension ref="B1:M87"/>
  <sheetViews>
    <sheetView showGridLines="0" tabSelected="1" topLeftCell="A14" workbookViewId="0">
      <selection activeCell="B81" sqref="B81:K85"/>
    </sheetView>
  </sheetViews>
  <sheetFormatPr baseColWidth="10" defaultRowHeight="16" x14ac:dyDescent="0.2"/>
  <cols>
    <col min="2" max="2" width="41.1640625" customWidth="1"/>
    <col min="17" max="17" width="14.83203125" customWidth="1"/>
    <col min="18" max="18" width="12" customWidth="1"/>
    <col min="20" max="20" width="28" customWidth="1"/>
  </cols>
  <sheetData>
    <row r="1" spans="2:13" ht="17" thickBot="1" x14ac:dyDescent="0.25"/>
    <row r="2" spans="2:13" ht="16" customHeight="1" x14ac:dyDescent="0.2">
      <c r="B2" s="2" t="s">
        <v>0</v>
      </c>
      <c r="C2" s="3"/>
      <c r="D2" s="3"/>
      <c r="E2" s="3"/>
      <c r="F2" s="3"/>
      <c r="G2" s="3"/>
      <c r="H2" s="3"/>
      <c r="I2" s="3"/>
      <c r="J2" s="3"/>
      <c r="K2" s="4"/>
      <c r="L2" s="8"/>
    </row>
    <row r="3" spans="2:13" x14ac:dyDescent="0.2">
      <c r="B3" s="5"/>
      <c r="C3" s="6"/>
      <c r="D3" s="6"/>
      <c r="E3" s="6"/>
      <c r="F3" s="6"/>
      <c r="G3" s="6"/>
      <c r="H3" s="6"/>
      <c r="I3" s="6"/>
      <c r="J3" s="6"/>
      <c r="K3" s="7"/>
    </row>
    <row r="4" spans="2:13" x14ac:dyDescent="0.2">
      <c r="B4" s="5"/>
      <c r="C4" s="6"/>
      <c r="D4" s="6"/>
      <c r="E4" s="6"/>
      <c r="F4" s="6"/>
      <c r="G4" s="6"/>
      <c r="H4" s="6"/>
      <c r="I4" s="6"/>
      <c r="J4" s="6"/>
      <c r="K4" s="7"/>
    </row>
    <row r="5" spans="2:13" x14ac:dyDescent="0.2">
      <c r="B5" s="5"/>
      <c r="C5" s="6"/>
      <c r="D5" s="6"/>
      <c r="E5" s="6"/>
      <c r="F5" s="6"/>
      <c r="G5" s="6"/>
      <c r="H5" s="6"/>
      <c r="I5" s="6"/>
      <c r="J5" s="6"/>
      <c r="K5" s="7"/>
    </row>
    <row r="6" spans="2:13" x14ac:dyDescent="0.2">
      <c r="B6" s="5"/>
      <c r="C6" s="6"/>
      <c r="D6" s="6"/>
      <c r="E6" s="6"/>
      <c r="F6" s="6"/>
      <c r="G6" s="6"/>
      <c r="H6" s="6"/>
      <c r="I6" s="6"/>
      <c r="J6" s="6"/>
      <c r="K6" s="7"/>
    </row>
    <row r="7" spans="2:13" x14ac:dyDescent="0.2">
      <c r="B7" s="5"/>
      <c r="C7" s="6"/>
      <c r="D7" s="6"/>
      <c r="E7" s="6"/>
      <c r="F7" s="6"/>
      <c r="G7" s="6"/>
      <c r="H7" s="6"/>
      <c r="I7" s="6"/>
      <c r="J7" s="6"/>
      <c r="K7" s="7"/>
    </row>
    <row r="8" spans="2:13" x14ac:dyDescent="0.2">
      <c r="B8" s="5"/>
      <c r="C8" s="6"/>
      <c r="D8" s="6"/>
      <c r="E8" s="6"/>
      <c r="F8" s="6"/>
      <c r="G8" s="6"/>
      <c r="H8" s="6"/>
      <c r="I8" s="6"/>
      <c r="J8" s="6"/>
      <c r="K8" s="7"/>
    </row>
    <row r="9" spans="2:13" x14ac:dyDescent="0.2">
      <c r="B9" s="5"/>
      <c r="C9" s="6"/>
      <c r="D9" s="6"/>
      <c r="E9" s="6"/>
      <c r="F9" s="6"/>
      <c r="G9" s="6"/>
      <c r="H9" s="6"/>
      <c r="I9" s="6"/>
      <c r="J9" s="6"/>
      <c r="K9" s="7"/>
    </row>
    <row r="10" spans="2:13" x14ac:dyDescent="0.2">
      <c r="B10" s="5"/>
      <c r="C10" s="6"/>
      <c r="D10" s="6"/>
      <c r="E10" s="6"/>
      <c r="F10" s="6"/>
      <c r="G10" s="6"/>
      <c r="H10" s="6"/>
      <c r="I10" s="6"/>
      <c r="J10" s="6"/>
      <c r="K10" s="7"/>
    </row>
    <row r="11" spans="2:13" x14ac:dyDescent="0.2">
      <c r="B11" s="5"/>
      <c r="C11" s="6"/>
      <c r="D11" s="6"/>
      <c r="E11" s="6"/>
      <c r="F11" s="6"/>
      <c r="G11" s="6"/>
      <c r="H11" s="6"/>
      <c r="I11" s="6"/>
      <c r="J11" s="6"/>
      <c r="K11" s="7"/>
    </row>
    <row r="12" spans="2:13" x14ac:dyDescent="0.2">
      <c r="B12" s="5"/>
      <c r="C12" s="6"/>
      <c r="D12" s="6"/>
      <c r="E12" s="6"/>
      <c r="F12" s="6"/>
      <c r="G12" s="6"/>
      <c r="H12" s="6"/>
      <c r="I12" s="6"/>
      <c r="J12" s="6"/>
      <c r="K12" s="7"/>
    </row>
    <row r="13" spans="2:13" ht="17" thickBot="1" x14ac:dyDescent="0.25">
      <c r="B13" s="9"/>
      <c r="C13" s="10"/>
      <c r="D13" s="10"/>
      <c r="E13" s="10"/>
      <c r="F13" s="10"/>
      <c r="G13" s="10"/>
      <c r="H13" s="10"/>
      <c r="I13" s="10"/>
      <c r="J13" s="10"/>
      <c r="K13" s="11"/>
    </row>
    <row r="14" spans="2:13" x14ac:dyDescent="0.2">
      <c r="B14" s="8"/>
      <c r="C14" s="8"/>
      <c r="D14" s="8"/>
      <c r="E14" s="8"/>
      <c r="F14" s="8"/>
      <c r="G14" s="8"/>
      <c r="H14" s="8"/>
      <c r="I14" s="8"/>
      <c r="J14" s="8"/>
      <c r="K14" s="8"/>
      <c r="L14" s="8"/>
      <c r="M14" s="8"/>
    </row>
    <row r="17" spans="2:11" x14ac:dyDescent="0.2">
      <c r="B17" s="15" t="s">
        <v>6</v>
      </c>
      <c r="C17" s="16" t="s">
        <v>7</v>
      </c>
      <c r="D17" s="17" t="s">
        <v>7</v>
      </c>
      <c r="E17" s="18"/>
      <c r="F17" s="18"/>
      <c r="G17" s="18"/>
      <c r="H17" s="18"/>
      <c r="I17" s="18"/>
      <c r="J17" s="18"/>
      <c r="K17" s="18"/>
    </row>
    <row r="18" spans="2:11" x14ac:dyDescent="0.2">
      <c r="B18" s="19" t="s">
        <v>8</v>
      </c>
      <c r="C18" s="20"/>
      <c r="D18" s="18"/>
      <c r="E18" s="18"/>
      <c r="F18" s="19" t="s">
        <v>9</v>
      </c>
      <c r="G18" s="18"/>
      <c r="H18" s="18"/>
      <c r="I18" s="18"/>
      <c r="J18" s="18"/>
      <c r="K18" s="18"/>
    </row>
    <row r="19" spans="2:11" x14ac:dyDescent="0.2">
      <c r="B19" s="18" t="s">
        <v>2</v>
      </c>
      <c r="C19" s="21">
        <f>K46</f>
        <v>340500</v>
      </c>
      <c r="D19" s="20"/>
      <c r="E19" s="18"/>
      <c r="F19" s="22" t="s">
        <v>10</v>
      </c>
      <c r="G19" s="22"/>
      <c r="H19" s="23">
        <f>J46*C59</f>
        <v>340500</v>
      </c>
      <c r="I19" s="18"/>
      <c r="J19" s="18"/>
      <c r="K19" s="18"/>
    </row>
    <row r="20" spans="2:11" x14ac:dyDescent="0.2">
      <c r="B20" s="18" t="s">
        <v>11</v>
      </c>
      <c r="C20" s="21">
        <f>C21+C22</f>
        <v>19175</v>
      </c>
      <c r="D20" s="20"/>
      <c r="E20" s="18"/>
      <c r="F20" s="18"/>
      <c r="G20" s="18"/>
      <c r="H20" s="24"/>
      <c r="I20" s="18"/>
      <c r="J20" s="18"/>
      <c r="K20" s="18"/>
    </row>
    <row r="21" spans="2:11" x14ac:dyDescent="0.2">
      <c r="B21" s="25" t="s">
        <v>12</v>
      </c>
      <c r="C21" s="26">
        <f>H46*C46</f>
        <v>14300</v>
      </c>
      <c r="D21" s="27"/>
      <c r="E21" s="28"/>
      <c r="F21" s="28"/>
      <c r="G21" s="28"/>
      <c r="H21" s="29"/>
      <c r="I21" s="28"/>
      <c r="J21" s="18"/>
      <c r="K21" s="28"/>
    </row>
    <row r="22" spans="2:11" x14ac:dyDescent="0.2">
      <c r="B22" s="25" t="s">
        <v>13</v>
      </c>
      <c r="C22" s="26">
        <f>H46/C58*C60</f>
        <v>4875</v>
      </c>
      <c r="D22" s="30"/>
      <c r="E22" s="28"/>
      <c r="F22" s="28"/>
      <c r="G22" s="28"/>
      <c r="H22" s="29"/>
      <c r="I22" s="28"/>
      <c r="J22" s="28"/>
      <c r="K22" s="28"/>
    </row>
    <row r="23" spans="2:11" x14ac:dyDescent="0.2">
      <c r="B23" s="22" t="s">
        <v>14</v>
      </c>
      <c r="C23" s="31">
        <f>C19+C20</f>
        <v>359675</v>
      </c>
      <c r="D23" s="20"/>
      <c r="E23" s="18"/>
      <c r="F23" s="18"/>
      <c r="G23" s="18"/>
      <c r="H23" s="24"/>
      <c r="I23" s="18" t="s">
        <v>7</v>
      </c>
      <c r="J23" s="18" t="s">
        <v>7</v>
      </c>
      <c r="K23" s="18"/>
    </row>
    <row r="24" spans="2:11" x14ac:dyDescent="0.2">
      <c r="B24" s="18" t="s">
        <v>15</v>
      </c>
      <c r="C24" s="21">
        <f>C25+C26+C27</f>
        <v>90000</v>
      </c>
      <c r="D24" s="20"/>
      <c r="E24" s="18"/>
      <c r="F24" s="18" t="s">
        <v>16</v>
      </c>
      <c r="G24" s="18"/>
      <c r="H24" s="32">
        <f>H25+H26+H27</f>
        <v>339825</v>
      </c>
      <c r="I24" s="18"/>
      <c r="J24" s="18"/>
      <c r="K24" s="18"/>
    </row>
    <row r="25" spans="2:11" x14ac:dyDescent="0.2">
      <c r="B25" s="25" t="s">
        <v>17</v>
      </c>
      <c r="C25" s="26">
        <f>C60</f>
        <v>90000</v>
      </c>
      <c r="D25" s="27"/>
      <c r="E25" s="28"/>
      <c r="F25" s="25" t="s">
        <v>18</v>
      </c>
      <c r="G25" s="28"/>
      <c r="H25" s="33">
        <f>C25*J46/(J46+H46)</f>
        <v>85125</v>
      </c>
      <c r="I25" s="28"/>
      <c r="J25" s="28"/>
      <c r="K25" s="28"/>
    </row>
    <row r="26" spans="2:11" x14ac:dyDescent="0.2">
      <c r="B26" s="25" t="s">
        <v>19</v>
      </c>
      <c r="C26" s="26">
        <f>K47</f>
        <v>3050</v>
      </c>
      <c r="D26" s="27"/>
      <c r="E26" s="28"/>
      <c r="F26" s="25" t="s">
        <v>20</v>
      </c>
      <c r="G26" s="28"/>
      <c r="H26" s="33">
        <f>J46*SUM(C48:C55)</f>
        <v>249700</v>
      </c>
      <c r="I26" s="28"/>
      <c r="J26" s="28"/>
      <c r="K26" s="28"/>
    </row>
    <row r="27" spans="2:11" x14ac:dyDescent="0.2">
      <c r="B27" s="25" t="s">
        <v>21</v>
      </c>
      <c r="C27" s="26">
        <f>-I47</f>
        <v>-3050</v>
      </c>
      <c r="D27" s="27"/>
      <c r="E27" s="28"/>
      <c r="F27" s="25" t="s">
        <v>22</v>
      </c>
      <c r="G27" s="28"/>
      <c r="H27" s="33">
        <f>C31</f>
        <v>5000</v>
      </c>
      <c r="I27" s="28"/>
      <c r="J27" s="28"/>
      <c r="K27" s="28"/>
    </row>
    <row r="28" spans="2:11" x14ac:dyDescent="0.2">
      <c r="B28" s="25" t="s">
        <v>7</v>
      </c>
      <c r="C28" s="26" t="s">
        <v>7</v>
      </c>
      <c r="D28" s="27"/>
      <c r="E28" s="28"/>
      <c r="F28" s="28"/>
      <c r="G28" s="28"/>
      <c r="H28" s="34"/>
      <c r="I28" s="28"/>
      <c r="J28" s="28"/>
      <c r="K28" s="28"/>
    </row>
    <row r="29" spans="2:11" x14ac:dyDescent="0.2">
      <c r="B29" s="22" t="s">
        <v>23</v>
      </c>
      <c r="C29" s="31">
        <f>C23-C24</f>
        <v>269675</v>
      </c>
      <c r="D29" s="20"/>
      <c r="E29" s="18"/>
      <c r="F29" s="18"/>
      <c r="G29" s="18"/>
      <c r="H29" s="35"/>
      <c r="I29" s="18"/>
      <c r="J29" s="18"/>
      <c r="K29" s="18"/>
    </row>
    <row r="30" spans="2:11" x14ac:dyDescent="0.2">
      <c r="B30" s="18" t="s">
        <v>24</v>
      </c>
      <c r="C30" s="21">
        <f>C31</f>
        <v>5000</v>
      </c>
      <c r="D30" s="20"/>
      <c r="E30" s="18"/>
      <c r="F30" s="18"/>
      <c r="G30" s="18"/>
      <c r="H30" s="35"/>
      <c r="I30" s="18"/>
      <c r="J30" s="18"/>
      <c r="K30" s="18"/>
    </row>
    <row r="31" spans="2:11" x14ac:dyDescent="0.2">
      <c r="B31" s="25" t="s">
        <v>22</v>
      </c>
      <c r="C31" s="26">
        <f>C64/C67*(12-C71)/12</f>
        <v>5000</v>
      </c>
      <c r="D31" s="27"/>
      <c r="E31" s="28"/>
      <c r="F31" s="28"/>
      <c r="G31" s="28"/>
      <c r="H31" s="34"/>
      <c r="I31" s="28"/>
      <c r="J31" s="28"/>
      <c r="K31" s="28"/>
    </row>
    <row r="32" spans="2:11" x14ac:dyDescent="0.2">
      <c r="B32" s="18" t="s">
        <v>25</v>
      </c>
      <c r="C32" s="21">
        <v>0</v>
      </c>
      <c r="D32" s="20"/>
      <c r="E32" s="18"/>
      <c r="F32" s="18"/>
      <c r="G32" s="18"/>
      <c r="H32" s="35"/>
      <c r="I32" s="18"/>
      <c r="J32" s="18"/>
      <c r="K32" s="18"/>
    </row>
    <row r="33" spans="2:11" x14ac:dyDescent="0.2">
      <c r="B33" s="22" t="s">
        <v>3</v>
      </c>
      <c r="C33" s="36"/>
      <c r="D33" s="20"/>
      <c r="E33" s="37"/>
      <c r="F33" s="22"/>
      <c r="G33" s="18"/>
      <c r="H33" s="18"/>
      <c r="I33" s="18"/>
      <c r="J33" s="18"/>
      <c r="K33" s="18"/>
    </row>
    <row r="34" spans="2:11" x14ac:dyDescent="0.2">
      <c r="B34" s="18" t="s">
        <v>4</v>
      </c>
      <c r="C34" s="20"/>
      <c r="D34" s="20"/>
      <c r="E34" s="44">
        <f>H19-H24</f>
        <v>675</v>
      </c>
      <c r="F34" s="18"/>
      <c r="G34" s="18"/>
      <c r="H34" s="18"/>
      <c r="I34" s="18"/>
      <c r="J34" s="18"/>
      <c r="K34" s="18"/>
    </row>
    <row r="35" spans="2:11" x14ac:dyDescent="0.2">
      <c r="B35" s="25" t="s">
        <v>26</v>
      </c>
      <c r="C35" s="28"/>
      <c r="D35" s="27"/>
      <c r="E35" s="26">
        <f>$C73*$C74*C75/12</f>
        <v>600</v>
      </c>
      <c r="F35" s="28"/>
      <c r="G35" s="28"/>
      <c r="H35" s="28"/>
      <c r="I35" s="28"/>
      <c r="J35" s="28"/>
      <c r="K35" s="28"/>
    </row>
    <row r="36" spans="2:11" x14ac:dyDescent="0.2">
      <c r="B36" s="22" t="s">
        <v>27</v>
      </c>
      <c r="C36" s="20"/>
      <c r="D36" s="20"/>
      <c r="E36" s="21">
        <f>E34-E35</f>
        <v>75</v>
      </c>
      <c r="F36" s="18"/>
      <c r="G36" s="18"/>
      <c r="H36" s="18"/>
      <c r="I36" s="18"/>
      <c r="J36" s="18"/>
      <c r="K36" s="18"/>
    </row>
    <row r="37" spans="2:11" x14ac:dyDescent="0.2">
      <c r="B37" s="18" t="s">
        <v>28</v>
      </c>
      <c r="C37" s="20"/>
      <c r="D37" s="20"/>
      <c r="E37" s="31">
        <f>C69</f>
        <v>45000</v>
      </c>
      <c r="F37" s="18"/>
      <c r="G37" s="18"/>
      <c r="H37" s="18"/>
      <c r="I37" s="18"/>
      <c r="J37" s="18"/>
      <c r="K37" s="18"/>
    </row>
    <row r="38" spans="2:11" x14ac:dyDescent="0.2">
      <c r="B38" s="25" t="s">
        <v>29</v>
      </c>
      <c r="C38" s="28"/>
      <c r="D38" s="28"/>
      <c r="E38" s="26">
        <f>C69</f>
        <v>45000</v>
      </c>
      <c r="F38" s="28"/>
      <c r="G38" s="28"/>
      <c r="H38" s="28"/>
      <c r="I38" s="28"/>
      <c r="J38" s="28"/>
      <c r="K38" s="28"/>
    </row>
    <row r="39" spans="2:11" x14ac:dyDescent="0.2">
      <c r="B39" s="18" t="s">
        <v>5</v>
      </c>
      <c r="C39" s="20"/>
      <c r="D39" s="20"/>
      <c r="E39" s="21">
        <f>(E36+E37)*$C77</f>
        <v>15776.249999999998</v>
      </c>
      <c r="F39" s="18"/>
      <c r="G39" s="18"/>
      <c r="H39" s="18"/>
      <c r="I39" s="18"/>
      <c r="J39" s="18"/>
      <c r="K39" s="18"/>
    </row>
    <row r="40" spans="2:11" x14ac:dyDescent="0.2">
      <c r="B40" s="22" t="s">
        <v>30</v>
      </c>
      <c r="C40" s="20"/>
      <c r="D40" s="20"/>
      <c r="E40" s="31">
        <f>E36+E37-E39</f>
        <v>29298.75</v>
      </c>
      <c r="F40" s="18"/>
      <c r="G40" s="18"/>
      <c r="H40" s="18"/>
      <c r="I40" s="18"/>
      <c r="J40" s="18"/>
      <c r="K40" s="18"/>
    </row>
    <row r="41" spans="2:11" x14ac:dyDescent="0.2">
      <c r="B41" s="18" t="s">
        <v>31</v>
      </c>
      <c r="C41" s="20"/>
      <c r="D41" s="18"/>
      <c r="E41" s="49">
        <v>0</v>
      </c>
      <c r="F41" s="18"/>
      <c r="G41" s="18"/>
      <c r="H41" s="18"/>
      <c r="I41" s="18"/>
      <c r="J41" s="18"/>
      <c r="K41" s="18"/>
    </row>
    <row r="42" spans="2:11" x14ac:dyDescent="0.2">
      <c r="B42" s="22" t="s">
        <v>32</v>
      </c>
      <c r="C42" s="20"/>
      <c r="D42" s="20"/>
      <c r="E42" s="31">
        <f>E40-E41</f>
        <v>29298.75</v>
      </c>
      <c r="F42" s="18"/>
      <c r="G42" s="18"/>
      <c r="H42" s="18"/>
      <c r="I42" s="18"/>
      <c r="J42" s="18"/>
      <c r="K42" s="18"/>
    </row>
    <row r="43" spans="2:11" x14ac:dyDescent="0.2">
      <c r="B43" s="18"/>
      <c r="C43" s="20"/>
      <c r="D43" s="18"/>
      <c r="E43" s="18"/>
      <c r="F43" s="18"/>
      <c r="G43" s="18"/>
      <c r="H43" s="18"/>
      <c r="I43" s="18"/>
      <c r="J43" s="18"/>
      <c r="K43" s="18"/>
    </row>
    <row r="44" spans="2:11" x14ac:dyDescent="0.2">
      <c r="B44" s="18"/>
      <c r="C44" s="20"/>
      <c r="D44" s="18"/>
      <c r="E44" s="18"/>
      <c r="F44" s="18"/>
      <c r="G44" s="18"/>
      <c r="H44" s="18"/>
      <c r="I44" s="18"/>
      <c r="J44" s="18"/>
      <c r="K44" s="18"/>
    </row>
    <row r="45" spans="2:11" x14ac:dyDescent="0.2">
      <c r="B45" s="39" t="s">
        <v>33</v>
      </c>
      <c r="C45" s="39" t="s">
        <v>34</v>
      </c>
      <c r="D45" s="40" t="s">
        <v>35</v>
      </c>
      <c r="E45" s="39" t="s">
        <v>36</v>
      </c>
      <c r="F45" s="39" t="s">
        <v>37</v>
      </c>
      <c r="G45" s="39" t="s">
        <v>38</v>
      </c>
      <c r="H45" s="39" t="s">
        <v>39</v>
      </c>
      <c r="I45" s="39"/>
      <c r="J45" s="39" t="s">
        <v>40</v>
      </c>
      <c r="K45" s="39"/>
    </row>
    <row r="46" spans="2:11" x14ac:dyDescent="0.2">
      <c r="B46" s="41" t="s">
        <v>41</v>
      </c>
      <c r="C46" s="26">
        <f>SUM(C48:C55)</f>
        <v>1100</v>
      </c>
      <c r="D46" s="43">
        <v>14</v>
      </c>
      <c r="E46" s="26">
        <f>C46*D46</f>
        <v>15400</v>
      </c>
      <c r="F46" s="43">
        <v>27</v>
      </c>
      <c r="G46" s="26">
        <f>C46*F46</f>
        <v>29700</v>
      </c>
      <c r="H46" s="47">
        <f>F46-D46</f>
        <v>13</v>
      </c>
      <c r="I46" s="26">
        <f t="shared" ref="I46:I55" si="0">G46-E46</f>
        <v>14300</v>
      </c>
      <c r="J46" s="47">
        <f>C58+D46-F46</f>
        <v>227</v>
      </c>
      <c r="K46" s="26">
        <f>J46*C59</f>
        <v>340500</v>
      </c>
    </row>
    <row r="47" spans="2:11" x14ac:dyDescent="0.2">
      <c r="B47" s="18" t="s">
        <v>42</v>
      </c>
      <c r="C47" s="38"/>
      <c r="D47" s="20"/>
      <c r="E47" s="21">
        <f>SUM(E48:E55)</f>
        <v>5400</v>
      </c>
      <c r="F47" s="45"/>
      <c r="G47" s="21">
        <f>SUM(G48:G55)</f>
        <v>8450</v>
      </c>
      <c r="H47" s="46"/>
      <c r="I47" s="21">
        <f t="shared" si="0"/>
        <v>3050</v>
      </c>
      <c r="J47" s="18" t="s">
        <v>43</v>
      </c>
      <c r="K47" s="21">
        <f>SUM(K48:K55)</f>
        <v>3050</v>
      </c>
    </row>
    <row r="48" spans="2:11" x14ac:dyDescent="0.2">
      <c r="B48" s="41" t="s">
        <v>44</v>
      </c>
      <c r="C48" s="42">
        <v>50</v>
      </c>
      <c r="D48" s="43">
        <v>5</v>
      </c>
      <c r="E48" s="26">
        <f>C48*D48</f>
        <v>250</v>
      </c>
      <c r="F48" s="43">
        <v>13</v>
      </c>
      <c r="G48" s="26">
        <f>C48*F48</f>
        <v>650</v>
      </c>
      <c r="H48" s="47">
        <f t="shared" ref="H48:H55" si="1">F48-D48</f>
        <v>8</v>
      </c>
      <c r="I48" s="26">
        <f t="shared" si="0"/>
        <v>400</v>
      </c>
      <c r="J48" s="47">
        <f>C$42+H48</f>
        <v>8</v>
      </c>
      <c r="K48" s="26">
        <f>J48*C48</f>
        <v>400</v>
      </c>
    </row>
    <row r="49" spans="2:11" x14ac:dyDescent="0.2">
      <c r="B49" s="41" t="s">
        <v>45</v>
      </c>
      <c r="C49" s="42">
        <v>200</v>
      </c>
      <c r="D49" s="43">
        <v>8</v>
      </c>
      <c r="E49" s="26">
        <f t="shared" ref="E49:E55" si="2">C49*D49</f>
        <v>1600</v>
      </c>
      <c r="F49" s="43">
        <v>2</v>
      </c>
      <c r="G49" s="26">
        <f t="shared" ref="G49:G55" si="3">C49*F49</f>
        <v>400</v>
      </c>
      <c r="H49" s="47">
        <f t="shared" si="1"/>
        <v>-6</v>
      </c>
      <c r="I49" s="26">
        <f t="shared" si="0"/>
        <v>-1200</v>
      </c>
      <c r="J49" s="47">
        <f t="shared" ref="J49:J55" si="4">C$42+H49</f>
        <v>-6</v>
      </c>
      <c r="K49" s="26">
        <f t="shared" ref="K49:K55" si="5">J49*C49</f>
        <v>-1200</v>
      </c>
    </row>
    <row r="50" spans="2:11" x14ac:dyDescent="0.2">
      <c r="B50" s="41" t="s">
        <v>1</v>
      </c>
      <c r="C50" s="42">
        <v>300</v>
      </c>
      <c r="D50" s="43">
        <v>4</v>
      </c>
      <c r="E50" s="26">
        <f t="shared" si="2"/>
        <v>1200</v>
      </c>
      <c r="F50" s="43">
        <v>11</v>
      </c>
      <c r="G50" s="26">
        <f t="shared" si="3"/>
        <v>3300</v>
      </c>
      <c r="H50" s="47">
        <f t="shared" si="1"/>
        <v>7</v>
      </c>
      <c r="I50" s="26">
        <f t="shared" si="0"/>
        <v>2100</v>
      </c>
      <c r="J50" s="47">
        <f t="shared" si="4"/>
        <v>7</v>
      </c>
      <c r="K50" s="26">
        <f t="shared" si="5"/>
        <v>2100</v>
      </c>
    </row>
    <row r="51" spans="2:11" x14ac:dyDescent="0.2">
      <c r="B51" s="41" t="s">
        <v>46</v>
      </c>
      <c r="C51" s="42">
        <v>100</v>
      </c>
      <c r="D51" s="43">
        <v>6</v>
      </c>
      <c r="E51" s="26">
        <f t="shared" si="2"/>
        <v>600</v>
      </c>
      <c r="F51" s="43">
        <v>4</v>
      </c>
      <c r="G51" s="26">
        <f t="shared" si="3"/>
        <v>400</v>
      </c>
      <c r="H51" s="47">
        <f t="shared" si="1"/>
        <v>-2</v>
      </c>
      <c r="I51" s="26">
        <f t="shared" si="0"/>
        <v>-200</v>
      </c>
      <c r="J51" s="47">
        <f t="shared" si="4"/>
        <v>-2</v>
      </c>
      <c r="K51" s="26">
        <f t="shared" si="5"/>
        <v>-200</v>
      </c>
    </row>
    <row r="52" spans="2:11" x14ac:dyDescent="0.2">
      <c r="B52" s="41" t="s">
        <v>47</v>
      </c>
      <c r="C52" s="42">
        <v>50</v>
      </c>
      <c r="D52" s="43">
        <v>1</v>
      </c>
      <c r="E52" s="26">
        <f t="shared" si="2"/>
        <v>50</v>
      </c>
      <c r="F52" s="43">
        <v>13</v>
      </c>
      <c r="G52" s="26">
        <f t="shared" si="3"/>
        <v>650</v>
      </c>
      <c r="H52" s="47">
        <f t="shared" si="1"/>
        <v>12</v>
      </c>
      <c r="I52" s="26">
        <f t="shared" si="0"/>
        <v>600</v>
      </c>
      <c r="J52" s="47">
        <f t="shared" si="4"/>
        <v>12</v>
      </c>
      <c r="K52" s="26">
        <f t="shared" si="5"/>
        <v>600</v>
      </c>
    </row>
    <row r="53" spans="2:11" x14ac:dyDescent="0.2">
      <c r="B53" s="41" t="s">
        <v>48</v>
      </c>
      <c r="C53" s="42">
        <v>150</v>
      </c>
      <c r="D53" s="43">
        <v>5</v>
      </c>
      <c r="E53" s="26">
        <f t="shared" si="2"/>
        <v>750</v>
      </c>
      <c r="F53" s="43">
        <v>10</v>
      </c>
      <c r="G53" s="26">
        <f t="shared" si="3"/>
        <v>1500</v>
      </c>
      <c r="H53" s="47">
        <f t="shared" si="1"/>
        <v>5</v>
      </c>
      <c r="I53" s="26">
        <f t="shared" si="0"/>
        <v>750</v>
      </c>
      <c r="J53" s="47">
        <f t="shared" si="4"/>
        <v>5</v>
      </c>
      <c r="K53" s="26">
        <f t="shared" si="5"/>
        <v>750</v>
      </c>
    </row>
    <row r="54" spans="2:11" x14ac:dyDescent="0.2">
      <c r="B54" s="41" t="s">
        <v>49</v>
      </c>
      <c r="C54" s="42">
        <v>200</v>
      </c>
      <c r="D54" s="43">
        <v>3</v>
      </c>
      <c r="E54" s="26">
        <f t="shared" si="2"/>
        <v>600</v>
      </c>
      <c r="F54" s="43">
        <v>3</v>
      </c>
      <c r="G54" s="26">
        <f t="shared" si="3"/>
        <v>600</v>
      </c>
      <c r="H54" s="47">
        <f t="shared" si="1"/>
        <v>0</v>
      </c>
      <c r="I54" s="26">
        <f t="shared" si="0"/>
        <v>0</v>
      </c>
      <c r="J54" s="47">
        <f t="shared" si="4"/>
        <v>0</v>
      </c>
      <c r="K54" s="26">
        <f t="shared" si="5"/>
        <v>0</v>
      </c>
    </row>
    <row r="55" spans="2:11" x14ac:dyDescent="0.2">
      <c r="B55" s="41" t="s">
        <v>50</v>
      </c>
      <c r="C55" s="42">
        <v>50</v>
      </c>
      <c r="D55" s="43">
        <v>7</v>
      </c>
      <c r="E55" s="26">
        <f t="shared" si="2"/>
        <v>350</v>
      </c>
      <c r="F55" s="43">
        <v>19</v>
      </c>
      <c r="G55" s="26">
        <f t="shared" si="3"/>
        <v>950</v>
      </c>
      <c r="H55" s="47">
        <f t="shared" si="1"/>
        <v>12</v>
      </c>
      <c r="I55" s="26">
        <f t="shared" si="0"/>
        <v>600</v>
      </c>
      <c r="J55" s="47">
        <f t="shared" si="4"/>
        <v>12</v>
      </c>
      <c r="K55" s="26">
        <f t="shared" si="5"/>
        <v>600</v>
      </c>
    </row>
    <row r="56" spans="2:11" x14ac:dyDescent="0.2">
      <c r="B56" s="18"/>
      <c r="C56" s="20"/>
      <c r="D56" s="18"/>
      <c r="E56" s="18"/>
      <c r="F56" s="18"/>
      <c r="G56" s="18"/>
      <c r="H56" s="18"/>
      <c r="I56" s="18"/>
      <c r="J56" s="18"/>
      <c r="K56" s="18"/>
    </row>
    <row r="57" spans="2:11" x14ac:dyDescent="0.2">
      <c r="B57" s="18"/>
      <c r="C57" s="20"/>
      <c r="D57" s="18"/>
      <c r="E57" s="18"/>
      <c r="F57" s="18"/>
      <c r="G57" s="18"/>
      <c r="H57" s="18"/>
      <c r="I57" s="18"/>
      <c r="J57" s="18"/>
      <c r="K57" s="18"/>
    </row>
    <row r="58" spans="2:11" x14ac:dyDescent="0.2">
      <c r="B58" s="18" t="s">
        <v>51</v>
      </c>
      <c r="C58" s="38">
        <v>240</v>
      </c>
      <c r="D58" s="18"/>
      <c r="E58" s="18"/>
      <c r="F58" s="18"/>
      <c r="G58" s="18"/>
      <c r="H58" s="18"/>
      <c r="I58" s="18"/>
      <c r="J58" s="18"/>
      <c r="K58" s="18"/>
    </row>
    <row r="59" spans="2:11" x14ac:dyDescent="0.2">
      <c r="B59" s="18" t="s">
        <v>52</v>
      </c>
      <c r="C59" s="38">
        <v>1500</v>
      </c>
      <c r="D59" s="18"/>
      <c r="E59" s="18"/>
      <c r="F59" s="18"/>
      <c r="G59" s="18"/>
      <c r="H59" s="18"/>
      <c r="I59" s="18"/>
      <c r="J59" s="18"/>
      <c r="K59" s="18"/>
    </row>
    <row r="60" spans="2:11" x14ac:dyDescent="0.2">
      <c r="B60" s="18" t="s">
        <v>53</v>
      </c>
      <c r="C60" s="21">
        <f>C61+C62</f>
        <v>90000</v>
      </c>
      <c r="D60" s="18"/>
      <c r="E60" s="18"/>
      <c r="F60" s="18"/>
      <c r="G60" s="18"/>
      <c r="H60" s="18"/>
      <c r="I60" s="18"/>
      <c r="J60" s="18"/>
      <c r="K60" s="18"/>
    </row>
    <row r="61" spans="2:11" x14ac:dyDescent="0.2">
      <c r="B61" s="25" t="s">
        <v>18</v>
      </c>
      <c r="C61" s="50">
        <v>60000</v>
      </c>
      <c r="D61" s="28"/>
      <c r="E61" s="28"/>
      <c r="F61" s="28"/>
      <c r="G61" s="28"/>
      <c r="H61" s="28"/>
      <c r="I61" s="28"/>
      <c r="J61" s="28"/>
      <c r="K61" s="28"/>
    </row>
    <row r="62" spans="2:11" x14ac:dyDescent="0.2">
      <c r="B62" s="25" t="s">
        <v>54</v>
      </c>
      <c r="C62" s="26">
        <f>C61*0.5</f>
        <v>30000</v>
      </c>
      <c r="D62" s="28"/>
      <c r="E62" s="28"/>
      <c r="F62" s="28"/>
      <c r="G62" s="28"/>
      <c r="H62" s="28"/>
      <c r="I62" s="28"/>
      <c r="J62" s="28"/>
      <c r="K62" s="28"/>
    </row>
    <row r="63" spans="2:11" x14ac:dyDescent="0.2">
      <c r="B63" s="18"/>
      <c r="C63" s="21"/>
      <c r="D63" s="18"/>
      <c r="E63" s="18"/>
      <c r="F63" s="18"/>
      <c r="G63" s="18"/>
      <c r="H63" s="18"/>
      <c r="I63" s="18"/>
      <c r="J63" s="18"/>
      <c r="K63" s="18"/>
    </row>
    <row r="64" spans="2:11" x14ac:dyDescent="0.2">
      <c r="B64" s="18" t="s">
        <v>55</v>
      </c>
      <c r="C64" s="49">
        <v>200000</v>
      </c>
      <c r="D64" s="18"/>
      <c r="E64" s="18"/>
      <c r="F64" s="18"/>
      <c r="G64" s="18"/>
      <c r="H64" s="18"/>
      <c r="I64" s="18"/>
      <c r="J64" s="18"/>
      <c r="K64" s="18"/>
    </row>
    <row r="65" spans="2:11" x14ac:dyDescent="0.2">
      <c r="B65" s="18" t="s">
        <v>56</v>
      </c>
      <c r="C65" s="21">
        <f>C64*(1-C68/C67)</f>
        <v>185000</v>
      </c>
      <c r="D65" s="18"/>
      <c r="E65" s="18"/>
      <c r="F65" s="18"/>
      <c r="G65" s="18"/>
      <c r="H65" s="18"/>
      <c r="I65" s="18"/>
      <c r="J65" s="18"/>
      <c r="K65" s="18"/>
    </row>
    <row r="66" spans="2:11" x14ac:dyDescent="0.2">
      <c r="B66" s="18" t="s">
        <v>57</v>
      </c>
      <c r="C66" s="49">
        <v>230000</v>
      </c>
      <c r="D66" s="18"/>
      <c r="E66" s="18"/>
      <c r="F66" s="18"/>
      <c r="G66" s="18"/>
      <c r="H66" s="18"/>
      <c r="I66" s="18"/>
      <c r="J66" s="18"/>
      <c r="K66" s="18"/>
    </row>
    <row r="67" spans="2:11" x14ac:dyDescent="0.2">
      <c r="B67" s="18" t="s">
        <v>58</v>
      </c>
      <c r="C67" s="49">
        <v>40</v>
      </c>
      <c r="D67" s="18"/>
      <c r="E67" s="18"/>
      <c r="F67" s="18"/>
      <c r="G67" s="18"/>
      <c r="H67" s="18"/>
      <c r="I67" s="18"/>
      <c r="J67" s="18"/>
      <c r="K67" s="18"/>
    </row>
    <row r="68" spans="2:11" x14ac:dyDescent="0.2">
      <c r="B68" s="18" t="s">
        <v>59</v>
      </c>
      <c r="C68" s="49">
        <v>3</v>
      </c>
      <c r="D68" s="18"/>
      <c r="E68" s="18"/>
      <c r="F68" s="18"/>
      <c r="G68" s="18"/>
      <c r="H68" s="18"/>
      <c r="I68" s="18"/>
      <c r="J68" s="18"/>
      <c r="K68" s="18"/>
    </row>
    <row r="69" spans="2:11" x14ac:dyDescent="0.2">
      <c r="B69" s="18" t="s">
        <v>60</v>
      </c>
      <c r="C69" s="21">
        <f>C66-C65</f>
        <v>45000</v>
      </c>
      <c r="D69" s="18"/>
      <c r="E69" s="18"/>
      <c r="F69" s="18"/>
      <c r="G69" s="18"/>
      <c r="H69" s="18"/>
      <c r="I69" s="18"/>
      <c r="J69" s="18"/>
      <c r="K69" s="18"/>
    </row>
    <row r="70" spans="2:11" x14ac:dyDescent="0.2">
      <c r="B70" s="18"/>
      <c r="C70" s="48"/>
      <c r="D70" s="18"/>
      <c r="E70" s="18"/>
      <c r="F70" s="18"/>
      <c r="G70" s="18"/>
      <c r="H70" s="18"/>
      <c r="I70" s="18"/>
      <c r="J70" s="18"/>
      <c r="K70" s="18"/>
    </row>
    <row r="71" spans="2:11" x14ac:dyDescent="0.2">
      <c r="B71" s="18" t="s">
        <v>61</v>
      </c>
      <c r="C71" s="49">
        <v>0</v>
      </c>
      <c r="D71" s="38">
        <v>12</v>
      </c>
      <c r="E71" s="18"/>
      <c r="F71" s="18"/>
      <c r="G71" s="18"/>
      <c r="H71" s="18"/>
      <c r="I71" s="18"/>
      <c r="J71" s="18"/>
      <c r="K71" s="18"/>
    </row>
    <row r="72" spans="2:11" x14ac:dyDescent="0.2">
      <c r="B72" s="18"/>
      <c r="C72" s="48"/>
      <c r="D72" s="18"/>
      <c r="E72" s="18"/>
      <c r="F72" s="18"/>
      <c r="G72" s="18"/>
      <c r="H72" s="18"/>
      <c r="I72" s="18"/>
      <c r="J72" s="18"/>
      <c r="K72" s="18"/>
    </row>
    <row r="73" spans="2:11" x14ac:dyDescent="0.2">
      <c r="B73" s="18" t="s">
        <v>62</v>
      </c>
      <c r="C73" s="49">
        <v>12000</v>
      </c>
      <c r="D73" s="18"/>
      <c r="E73" s="18"/>
      <c r="F73" s="18"/>
      <c r="G73" s="18"/>
      <c r="H73" s="18"/>
      <c r="I73" s="18"/>
      <c r="J73" s="18"/>
      <c r="K73" s="18"/>
    </row>
    <row r="74" spans="2:11" x14ac:dyDescent="0.2">
      <c r="B74" s="18" t="s">
        <v>63</v>
      </c>
      <c r="C74" s="51">
        <v>0.05</v>
      </c>
      <c r="D74" s="18"/>
      <c r="E74" s="18"/>
      <c r="F74" s="18"/>
      <c r="G74" s="18"/>
      <c r="H74" s="18"/>
      <c r="I74" s="18"/>
      <c r="J74" s="18"/>
      <c r="K74" s="18"/>
    </row>
    <row r="75" spans="2:11" x14ac:dyDescent="0.2">
      <c r="B75" s="18" t="s">
        <v>64</v>
      </c>
      <c r="C75" s="49">
        <v>12</v>
      </c>
      <c r="D75" s="38">
        <v>0</v>
      </c>
      <c r="E75" s="18"/>
      <c r="F75" s="18"/>
      <c r="G75" s="18"/>
      <c r="H75" s="18"/>
      <c r="I75" s="18"/>
      <c r="J75" s="18"/>
      <c r="K75" s="18"/>
    </row>
    <row r="76" spans="2:11" x14ac:dyDescent="0.2">
      <c r="B76" s="18"/>
      <c r="C76" s="48"/>
      <c r="D76" s="18"/>
      <c r="E76" s="18"/>
      <c r="F76" s="18"/>
      <c r="G76" s="18"/>
      <c r="H76" s="18"/>
      <c r="I76" s="18"/>
      <c r="J76" s="18"/>
      <c r="K76" s="18"/>
    </row>
    <row r="77" spans="2:11" x14ac:dyDescent="0.2">
      <c r="B77" s="18" t="s">
        <v>65</v>
      </c>
      <c r="C77" s="51">
        <v>0.35</v>
      </c>
      <c r="D77" s="18"/>
      <c r="E77" s="18"/>
      <c r="F77" s="18"/>
      <c r="G77" s="18"/>
      <c r="H77" s="18"/>
      <c r="I77" s="18"/>
      <c r="J77" s="18"/>
      <c r="K77" s="18"/>
    </row>
    <row r="78" spans="2:11" x14ac:dyDescent="0.2">
      <c r="B78" s="13"/>
      <c r="C78" s="14"/>
      <c r="D78" s="13"/>
      <c r="E78" s="13"/>
      <c r="F78" s="13"/>
      <c r="G78" s="13"/>
      <c r="H78" s="13"/>
      <c r="I78" s="13"/>
      <c r="J78" s="13"/>
      <c r="K78" s="13"/>
    </row>
    <row r="81" spans="2:11" x14ac:dyDescent="0.2">
      <c r="B81" s="1" t="s">
        <v>67</v>
      </c>
      <c r="C81" s="1"/>
      <c r="D81" s="1"/>
      <c r="E81" s="1"/>
      <c r="F81" s="1"/>
      <c r="G81" s="1"/>
      <c r="H81" s="1"/>
      <c r="I81" s="1"/>
      <c r="J81" s="1"/>
      <c r="K81" s="1"/>
    </row>
    <row r="82" spans="2:11" x14ac:dyDescent="0.2">
      <c r="B82" s="1"/>
      <c r="C82" s="1"/>
      <c r="D82" s="1"/>
      <c r="E82" s="1"/>
      <c r="F82" s="1"/>
      <c r="G82" s="1"/>
      <c r="H82" s="1"/>
      <c r="I82" s="1"/>
      <c r="J82" s="1"/>
      <c r="K82" s="1"/>
    </row>
    <row r="83" spans="2:11" x14ac:dyDescent="0.2">
      <c r="B83" s="1"/>
      <c r="C83" s="1"/>
      <c r="D83" s="1"/>
      <c r="E83" s="1"/>
      <c r="F83" s="1"/>
      <c r="G83" s="1"/>
      <c r="H83" s="1"/>
      <c r="I83" s="1"/>
      <c r="J83" s="1"/>
      <c r="K83" s="1"/>
    </row>
    <row r="84" spans="2:11" x14ac:dyDescent="0.2">
      <c r="B84" s="1"/>
      <c r="C84" s="1"/>
      <c r="D84" s="1"/>
      <c r="E84" s="1"/>
      <c r="F84" s="1"/>
      <c r="G84" s="1"/>
      <c r="H84" s="1"/>
      <c r="I84" s="1"/>
      <c r="J84" s="1"/>
      <c r="K84" s="1"/>
    </row>
    <row r="85" spans="2:11" x14ac:dyDescent="0.2">
      <c r="B85" s="1"/>
      <c r="C85" s="1"/>
      <c r="D85" s="1"/>
      <c r="E85" s="1"/>
      <c r="F85" s="1"/>
      <c r="G85" s="1"/>
      <c r="H85" s="1"/>
      <c r="I85" s="1"/>
      <c r="J85" s="1"/>
      <c r="K85" s="1"/>
    </row>
    <row r="87" spans="2:11" x14ac:dyDescent="0.2">
      <c r="B87" t="s">
        <v>66</v>
      </c>
      <c r="C87" s="12">
        <f>50%*E40</f>
        <v>14649.375</v>
      </c>
    </row>
  </sheetData>
  <mergeCells count="2">
    <mergeCell ref="B81:K85"/>
    <mergeCell ref="B2:K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Fever Tech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Yannis MOUTON</dc:creator>
  <cp:lastModifiedBy>Yannis MOUTON</cp:lastModifiedBy>
  <dcterms:created xsi:type="dcterms:W3CDTF">2026-04-15T08:14:20Z</dcterms:created>
  <dcterms:modified xsi:type="dcterms:W3CDTF">2026-04-15T10:37:15Z</dcterms:modified>
</cp:coreProperties>
</file>